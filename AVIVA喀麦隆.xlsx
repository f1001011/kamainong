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<sst xmlns="http://schemas.openxmlformats.org/spreadsheetml/2006/main" count="227" uniqueCount="196">
  <si>
    <t>APP名字</t>
  </si>
  <si>
    <t>AVIVA</t>
  </si>
  <si>
    <t>地区</t>
  </si>
  <si>
    <t>喀麦隆</t>
  </si>
  <si>
    <t>系统时间(UTC+1:00)中非西部时间</t>
  </si>
  <si>
    <t>参考网站</t>
  </si>
  <si>
    <t>https://www.avivainvestors.com/</t>
  </si>
  <si>
    <t>语言</t>
  </si>
  <si>
    <t>法语</t>
  </si>
  <si>
    <t>货币</t>
  </si>
  <si>
    <t>XAF</t>
  </si>
  <si>
    <t>域名</t>
  </si>
  <si>
    <t>https://www.AVIVA-CM.com/</t>
  </si>
  <si>
    <t>产品名称</t>
  </si>
  <si>
    <t>价格</t>
  </si>
  <si>
    <t>（天）收益产生次数</t>
  </si>
  <si>
    <t>每次收益</t>
  </si>
  <si>
    <t>日收入</t>
  </si>
  <si>
    <t>总收入</t>
  </si>
  <si>
    <t>周期</t>
  </si>
  <si>
    <t>限购</t>
  </si>
  <si>
    <t>状态显示</t>
  </si>
  <si>
    <t>(Produit d'expérience)</t>
  </si>
  <si>
    <t>1次</t>
  </si>
  <si>
    <t>Revenu fixe 1</t>
  </si>
  <si>
    <t>不限</t>
  </si>
  <si>
    <t>Revenu fixe 2</t>
  </si>
  <si>
    <t>Revenu fixe 3</t>
  </si>
  <si>
    <t>Bientôt disponible</t>
  </si>
  <si>
    <t>Revenu fixe 4</t>
  </si>
  <si>
    <t>Revenu fixe 5</t>
  </si>
  <si>
    <t>Revenu fixe 6</t>
  </si>
  <si>
    <t>Revenu fixe 7</t>
  </si>
  <si>
    <t>Revenu fixe 8</t>
  </si>
  <si>
    <t>Revenu fixe 9</t>
  </si>
  <si>
    <t>Revenu fixe 10</t>
  </si>
  <si>
    <t>当天任何时间购买都是次日午夜23：59分前必须手动领取，如果未领取。则保留24小时。过24小时未领收益作废</t>
  </si>
  <si>
    <t>例如:3月17日晚上11点购买。次日凌晨即可随机产生收益。并进行手动领取。18号晚上23.59分之前领取到总金额330。如未领取任意一次110。保留领取到19号23.59分。00过后则作废。</t>
  </si>
  <si>
    <t>SVIP1</t>
  </si>
  <si>
    <t>个人购买产品两个Revenu fixe1.每日领取50XAF</t>
  </si>
  <si>
    <t>LV1月薪奖励</t>
  </si>
  <si>
    <t>团队LV1累计充值达到300000</t>
  </si>
  <si>
    <t>领取3000</t>
  </si>
  <si>
    <t>以月计算。每月刷新，只能领取一次达到条件的最高对应金额。不能叠加领取</t>
  </si>
  <si>
    <t>不显示在前端。</t>
  </si>
  <si>
    <t>SVIP2</t>
  </si>
  <si>
    <t>个人购买产品两个Revenu fixe2.每日领取80XAF</t>
  </si>
  <si>
    <t>团队LV1累计充值达到800000</t>
  </si>
  <si>
    <t>领取5000</t>
  </si>
  <si>
    <t>SVIP3</t>
  </si>
  <si>
    <t>个人购买产品两个Revenu fixe3.每日领取120XAF</t>
  </si>
  <si>
    <t>团队LV1累计充值达到1500000</t>
  </si>
  <si>
    <t>领取8000</t>
  </si>
  <si>
    <t>SVIP4</t>
  </si>
  <si>
    <t>个人购买产品两个Revenu fixe4.每日领取160XAF</t>
  </si>
  <si>
    <t>团队LV1累计充值达到3000000</t>
  </si>
  <si>
    <t>领取15000</t>
  </si>
  <si>
    <t>SVIP5</t>
  </si>
  <si>
    <t>个人购买产品两个Revenu fixe5.每日领取200XAF</t>
  </si>
  <si>
    <t>团队LV1累计充值达到8000000</t>
  </si>
  <si>
    <t>领取30000</t>
  </si>
  <si>
    <t>SVIP6</t>
  </si>
  <si>
    <t>个人购买产品两个Revenu fixe6.每日领取240XAF</t>
  </si>
  <si>
    <t>团队LV1累计充值达到30000000</t>
  </si>
  <si>
    <t>领取50000</t>
  </si>
  <si>
    <t>SVIP7</t>
  </si>
  <si>
    <t>个人购买产品两个Revenu fixe7.每日领取280XAF</t>
  </si>
  <si>
    <t>SVIP8</t>
  </si>
  <si>
    <t>个人购买产品两个Revenu fixe8.每日领取320XAF</t>
  </si>
  <si>
    <t>SVIP9</t>
  </si>
  <si>
    <t>个人购买产品两个Revenu fixe9.每日领取360XAF</t>
  </si>
  <si>
    <t>奖池累计金</t>
  </si>
  <si>
    <t>奖池每天放3000。凌晨刷新。五点开奖。</t>
  </si>
  <si>
    <t>SVIP10</t>
  </si>
  <si>
    <t>个人购买产品两个Revenu fixe10.每日领取500XAF</t>
  </si>
  <si>
    <t>条件1</t>
  </si>
  <si>
    <t>个人LV1团队当天充值最高为一等奖。领取1388FCFA</t>
  </si>
  <si>
    <t>代理级别</t>
  </si>
  <si>
    <t>条件</t>
  </si>
  <si>
    <t>奖励</t>
  </si>
  <si>
    <t>条件2</t>
  </si>
  <si>
    <t>个人当天累计充值达到最高为二等奖。领取888FCFA</t>
  </si>
  <si>
    <t>见习组长</t>
  </si>
  <si>
    <t>30名LV1级充值成员</t>
  </si>
  <si>
    <t>条件3</t>
  </si>
  <si>
    <t>个人当天邀请人数最高为三等奖。团队领取688FCFA</t>
  </si>
  <si>
    <t>市场主管</t>
  </si>
  <si>
    <t>300名LV123级充值会员</t>
  </si>
  <si>
    <t>市场经理</t>
  </si>
  <si>
    <t>500名LV123级充值会员</t>
  </si>
  <si>
    <t>市场总经理</t>
  </si>
  <si>
    <t>800名LV123级充值会员</t>
  </si>
  <si>
    <t>大区经理</t>
  </si>
  <si>
    <t>1200名LV123级充值会员</t>
  </si>
  <si>
    <t>大区总经理</t>
  </si>
  <si>
    <t>3000+LV123级充值会员</t>
  </si>
  <si>
    <t>城市合作伙伴</t>
  </si>
  <si>
    <t>5000+LV1级充值会员</t>
  </si>
  <si>
    <t>理财产品</t>
  </si>
  <si>
    <t>价格区间</t>
  </si>
  <si>
    <t>参考金额计算</t>
  </si>
  <si>
    <t>收益比例</t>
  </si>
  <si>
    <t>Periodic 1</t>
  </si>
  <si>
    <t>1000-15000</t>
  </si>
  <si>
    <t>开放</t>
  </si>
  <si>
    <t>Periodic 2</t>
  </si>
  <si>
    <t>3000-50000</t>
  </si>
  <si>
    <t>Periodic 3</t>
  </si>
  <si>
    <t>5000-150000</t>
  </si>
  <si>
    <t>Periodic 4</t>
  </si>
  <si>
    <t>8000-300000</t>
  </si>
  <si>
    <t>Periodic 5</t>
  </si>
  <si>
    <t>10000-500000</t>
  </si>
  <si>
    <t>Periodic 6</t>
  </si>
  <si>
    <t>15000-800000</t>
  </si>
  <si>
    <t>团队返佣</t>
  </si>
  <si>
    <t>只计算首次</t>
  </si>
  <si>
    <t>最低充值</t>
  </si>
  <si>
    <t>客服时间</t>
  </si>
  <si>
    <t>09：00--19：00</t>
  </si>
  <si>
    <t>最低提款</t>
  </si>
  <si>
    <t>提款时间</t>
  </si>
  <si>
    <t>10：00--18：00</t>
  </si>
  <si>
    <t>注册手机号为9位</t>
  </si>
  <si>
    <t>+237 671 234 567</t>
  </si>
  <si>
    <t>提现次数</t>
  </si>
  <si>
    <t>添加礼品代码</t>
  </si>
  <si>
    <t>每日签到</t>
  </si>
  <si>
    <t>1积分</t>
  </si>
  <si>
    <t>提款税率</t>
  </si>
  <si>
    <t>添加上传充值凭证功能，总后台显示就可以。</t>
  </si>
  <si>
    <t>提款要求</t>
  </si>
  <si>
    <t>必须充值并购买任意付费产品</t>
  </si>
  <si>
    <t>不添加频道和群组。只保留一个客服。使用内置客服</t>
  </si>
  <si>
    <t>提款成功上传凭证，收到提款的图片。可点赞可评论。</t>
  </si>
  <si>
    <t>个人充值一次
赠送一次抽奖机会</t>
  </si>
  <si>
    <t>邀请5人获得转一次机会/日转5次</t>
  </si>
  <si>
    <t>概率</t>
  </si>
  <si>
    <t xml:space="preserve">
积分转盘奖励
按当天转的次数
每天凌晨刷新
中奖后重新计算次数</t>
  </si>
  <si>
    <t>100XAF</t>
  </si>
  <si>
    <t>100000XAF</t>
  </si>
  <si>
    <t>36000XAF</t>
  </si>
  <si>
    <t>200XFA</t>
  </si>
  <si>
    <t>智能手表</t>
  </si>
  <si>
    <t>5000XAF</t>
  </si>
  <si>
    <t>充电宝</t>
  </si>
  <si>
    <t>600XAF</t>
  </si>
  <si>
    <t>安卓手机</t>
  </si>
  <si>
    <t>300XAF</t>
  </si>
  <si>
    <t>1000XAF</t>
  </si>
  <si>
    <t>任务组1</t>
  </si>
  <si>
    <t>完成LV2五个人的邀请，奖励300XAF</t>
  </si>
  <si>
    <t>注意：活动进度每周重置为零，
每个任务下方都会显示进度条。
受邀成员只有在充值租借产品后才能看到邀请
完成状态和进度条。</t>
  </si>
  <si>
    <t>完成LV2十个人的邀请，奖励800XAF</t>
  </si>
  <si>
    <t>完成LV2十五人的邀请，奖励1500XAF</t>
  </si>
  <si>
    <t>完成LV2三十人的邀请，奖励3000XAF</t>
  </si>
  <si>
    <t>任务组2</t>
  </si>
  <si>
    <t>完成了LV1十人的邀请，奖励500XAF</t>
  </si>
  <si>
    <t>完成了LV1二十人的邀请，奖励1000XAF</t>
  </si>
  <si>
    <t>完成了LV1三十人的邀请，奖励1500XAF</t>
  </si>
  <si>
    <t>完成了LV1六十人的邀请，奖励3000XAF</t>
  </si>
  <si>
    <t>任务类型</t>
  </si>
  <si>
    <t>积分兑换</t>
  </si>
  <si>
    <t>物品</t>
  </si>
  <si>
    <t>任务中心</t>
  </si>
  <si>
    <t>充值</t>
  </si>
  <si>
    <t>获得1000个积分。</t>
  </si>
  <si>
    <t>获得1积分</t>
  </si>
  <si>
    <t>50XAF</t>
  </si>
  <si>
    <t>每周新增成员</t>
  </si>
  <si>
    <t>50积分</t>
  </si>
  <si>
    <t>雅马哈MT25</t>
  </si>
  <si>
    <t>每周充值</t>
  </si>
  <si>
    <t>3000积分</t>
  </si>
  <si>
    <t xml:space="preserve">storm Ultra </t>
  </si>
  <si>
    <t>邀请1名LV1级成员</t>
  </si>
  <si>
    <t>10积分</t>
  </si>
  <si>
    <t>VEGER POWER BANK</t>
  </si>
  <si>
    <t>邀请1名LV1级成员充值</t>
  </si>
  <si>
    <t>100积分</t>
  </si>
  <si>
    <t>SAMSUNG S23</t>
  </si>
  <si>
    <t>邀请5名LV1级成员充值</t>
  </si>
  <si>
    <t>500优惠券+10积分</t>
  </si>
  <si>
    <t>SAMSUNG A24</t>
  </si>
  <si>
    <t>邀请10名LV1级成员充值</t>
  </si>
  <si>
    <t>1000优惠券+20积分</t>
  </si>
  <si>
    <t>SAMSUNG A13</t>
  </si>
  <si>
    <t>邀请15名LV1级成员充值</t>
  </si>
  <si>
    <t>1500优惠券+30积分</t>
  </si>
  <si>
    <t>PRO 5s earbud top</t>
  </si>
  <si>
    <t>邀请30名LV1级成员充值</t>
  </si>
  <si>
    <t>3000优惠券+50积分</t>
  </si>
  <si>
    <t>LG TV 32</t>
  </si>
  <si>
    <t>邀请50名LV1级成员充值</t>
  </si>
  <si>
    <t>5000优惠券+100积分</t>
  </si>
  <si>
    <t>优惠券可用于充值时使用进行抵扣减金额。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</si>
</sst>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3" borderId="12">
      <alignment vertical="center"/>
    </xf>
    <xf numFmtId="0" fontId="13" fillId="4" borderId="13">
      <alignment vertical="center"/>
    </xf>
    <xf numFmtId="0" fontId="14" fillId="4" borderId="12">
      <alignment vertical="center"/>
    </xf>
    <xf numFmtId="0" fontId="15" fillId="5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6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10" fontId="3" fillId="0" borderId="0" xfId="0" applyNumberFormat="1" applyFont="1" applyFill="1" applyBorder="1" applyAlignment="1" applyProtection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10" fontId="3" fillId="0" borderId="7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>
      <alignment vertical="center"/>
    </xf>
    <xf numFmtId="10" fontId="0" fillId="0" borderId="0" xfId="0" applyNumberFormat="1" applyAlignment="1">
      <alignment horizontal="center" vertical="center"/>
    </xf>
    <xf numFmtId="10" fontId="0" fillId="0" borderId="5" xfId="0" applyNumberFormat="1" applyBorder="1">
      <alignment vertical="center"/>
    </xf>
    <xf numFmtId="0" fontId="4" fillId="0" borderId="0" xfId="0" applyFont="1" applyBorder="1" applyAlignment="1">
      <alignment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Border="1" applyAlignment="1">
      <alignment horizontal="left" vertical="center"/>
    </xf>
    <xf numFmtId="10" fontId="0" fillId="0" borderId="0" xfId="0" applyNumberFormat="1" applyFont="1" applyFill="1" applyBorder="1" applyAlignment="1" applyProtection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486410</xdr:colOff>
      <xdr:row>75</xdr:row>
      <xdr:rowOff>161925</xdr:rowOff>
    </xdr:from>
    <xdr:to>
      <xdr:col>2</xdr:col>
      <xdr:colOff>130810</xdr:colOff>
      <xdr:row>88</xdr:row>
      <xdr:rowOff>132715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410" y="13020675"/>
          <a:ext cx="1016000" cy="219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485775</xdr:colOff>
      <xdr:row>75</xdr:row>
      <xdr:rowOff>161925</xdr:rowOff>
    </xdr:from>
    <xdr:to>
      <xdr:col>4</xdr:col>
      <xdr:colOff>102235</xdr:colOff>
      <xdr:row>88</xdr:row>
      <xdr:rowOff>81915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57375" y="13020675"/>
          <a:ext cx="988060" cy="214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600075</xdr:colOff>
      <xdr:row>102</xdr:row>
      <xdr:rowOff>1905</xdr:rowOff>
    </xdr:from>
    <xdr:to>
      <xdr:col>22</xdr:col>
      <xdr:colOff>447675</xdr:colOff>
      <xdr:row>135</xdr:row>
      <xdr:rowOff>8890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44475" y="17489805"/>
          <a:ext cx="2590800" cy="566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640715</xdr:colOff>
      <xdr:row>131</xdr:row>
      <xdr:rowOff>114300</xdr:rowOff>
    </xdr:from>
    <xdr:to>
      <xdr:col>22</xdr:col>
      <xdr:colOff>461645</xdr:colOff>
      <xdr:row>142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985115" y="22574250"/>
          <a:ext cx="2564130" cy="179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VIVA-CM.com/" TargetMode="External"/><Relationship Id="rId2" Type="http://schemas.openxmlformats.org/officeDocument/2006/relationships/hyperlink" Target="https://www.avivainvestors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G133"/>
  <sheetViews>
    <sheetView tabSelected="1" workbookViewId="0">
      <selection activeCell="J19" sqref="J19:K19"/>
    </sheetView>
  </sheetViews>
  <sheetFormatPr defaultColWidth="9" defaultRowHeight="13.5"/>
  <sheetData>
    <row r="3" spans="1:27">
      <c r="G3" s="1"/>
      <c r="H3" s="1"/>
      <c r="I3" s="2"/>
      <c r="J3" s="2"/>
      <c r="K3" s="2"/>
      <c r="L3" s="2"/>
    </row>
    <row r="4" spans="1:27">
      <c r="G4" s="1" t="s">
        <v>0</v>
      </c>
      <c r="H4" s="1"/>
      <c r="I4" s="2" t="s">
        <v>1</v>
      </c>
      <c r="J4" s="2"/>
      <c r="K4" s="2"/>
      <c r="L4" s="2"/>
    </row>
    <row r="5" spans="1:27">
      <c r="A5" s="3"/>
      <c r="B5" s="3"/>
      <c r="C5" s="3"/>
      <c r="D5" s="3"/>
      <c r="E5" s="3"/>
      <c r="F5" s="3"/>
      <c r="G5" s="4" t="s">
        <v>2</v>
      </c>
      <c r="H5" s="4"/>
      <c r="I5" s="5" t="s">
        <v>3</v>
      </c>
      <c r="J5" s="5"/>
      <c r="K5" s="5"/>
      <c r="L5" s="5"/>
      <c r="M5" s="6"/>
      <c r="N5" s="6"/>
      <c r="O5" s="6"/>
      <c r="P5" s="6"/>
      <c r="Q5" s="6"/>
      <c r="R5" s="1" t="s">
        <v>4</v>
      </c>
      <c r="S5" s="1"/>
      <c r="T5" s="1"/>
      <c r="U5" s="1"/>
      <c r="V5" s="3"/>
      <c r="W5" s="3"/>
      <c r="X5" s="3"/>
      <c r="Y5" s="3"/>
      <c r="Z5" s="3"/>
      <c r="AA5" s="3"/>
    </row>
    <row r="6" spans="1:27">
      <c r="A6" s="3"/>
      <c r="B6" s="3"/>
      <c r="C6" s="3"/>
      <c r="D6" s="3"/>
      <c r="E6" s="3"/>
      <c r="F6" s="3"/>
      <c r="G6" s="4" t="s">
        <v>5</v>
      </c>
      <c r="H6" s="4"/>
      <c r="I6" s="7" t="s">
        <v>6</v>
      </c>
      <c r="J6" s="7"/>
      <c r="K6" s="7"/>
      <c r="L6" s="7"/>
      <c r="M6" s="7"/>
      <c r="N6" s="7"/>
      <c r="O6" s="6"/>
      <c r="P6" s="6"/>
      <c r="Q6" s="6"/>
      <c r="R6" s="1"/>
      <c r="S6" s="1"/>
      <c r="T6" s="1"/>
      <c r="U6" s="1"/>
      <c r="V6" s="3"/>
      <c r="W6" s="3"/>
      <c r="X6" s="3"/>
      <c r="Y6" s="3"/>
      <c r="Z6" s="3"/>
      <c r="AA6" s="3"/>
    </row>
    <row r="7" spans="1:27">
      <c r="A7" s="3"/>
      <c r="B7" s="3"/>
      <c r="C7" s="3"/>
      <c r="D7" s="3"/>
      <c r="E7" s="3"/>
      <c r="F7" s="3"/>
      <c r="G7" s="4" t="s">
        <v>7</v>
      </c>
      <c r="H7" s="4"/>
      <c r="I7" s="8" t="s">
        <v>8</v>
      </c>
      <c r="J7" s="8"/>
      <c r="K7" s="8"/>
      <c r="L7" s="8"/>
      <c r="M7" s="6"/>
      <c r="N7" s="6"/>
      <c r="O7" s="6"/>
      <c r="P7" s="6"/>
      <c r="Q7" s="6"/>
      <c r="R7" s="1"/>
      <c r="S7" s="1"/>
      <c r="T7" s="1"/>
      <c r="U7" s="1"/>
      <c r="V7" s="3"/>
      <c r="W7" s="3"/>
      <c r="X7" s="3"/>
      <c r="Y7" s="3"/>
      <c r="Z7" s="3"/>
      <c r="AA7" s="3"/>
    </row>
    <row r="8" spans="1:27">
      <c r="A8" s="3"/>
      <c r="B8" s="3"/>
      <c r="C8" s="3"/>
      <c r="D8" s="3"/>
      <c r="E8" s="3"/>
      <c r="F8" s="3"/>
      <c r="G8" s="4" t="s">
        <v>9</v>
      </c>
      <c r="H8" s="4"/>
      <c r="I8" s="8" t="s">
        <v>10</v>
      </c>
      <c r="J8" s="8"/>
      <c r="K8" s="8"/>
      <c r="L8" s="8"/>
      <c r="M8" s="6"/>
      <c r="N8" s="6"/>
      <c r="O8" s="6"/>
      <c r="P8" s="6"/>
      <c r="Q8" s="6"/>
      <c r="R8" s="1"/>
      <c r="S8" s="1"/>
      <c r="T8" s="1"/>
      <c r="U8" s="1"/>
      <c r="V8" s="3"/>
      <c r="W8" s="3"/>
      <c r="X8" s="3"/>
      <c r="Y8" s="3"/>
      <c r="Z8" s="3"/>
      <c r="AA8" s="3"/>
    </row>
    <row r="9" spans="1:27">
      <c r="A9" s="3"/>
      <c r="B9" s="3"/>
      <c r="C9" s="3"/>
      <c r="D9" s="3"/>
      <c r="E9" s="3"/>
      <c r="F9" s="3"/>
      <c r="G9" s="4" t="s">
        <v>11</v>
      </c>
      <c r="H9" s="4"/>
      <c r="I9" s="9" t="s">
        <v>12</v>
      </c>
      <c r="J9" s="9"/>
      <c r="K9" s="9"/>
      <c r="L9" s="5"/>
      <c r="M9" s="5"/>
      <c r="N9" s="5"/>
      <c r="O9" s="6"/>
      <c r="P9" s="6"/>
      <c r="Q9" s="6"/>
      <c r="R9" s="1"/>
      <c r="S9" s="1"/>
      <c r="T9" s="1"/>
      <c r="U9" s="1"/>
      <c r="V9" s="3"/>
      <c r="W9" s="3"/>
      <c r="X9" s="3"/>
      <c r="Y9" s="3"/>
      <c r="Z9" s="3"/>
      <c r="AA9" s="3"/>
    </row>
    <row r="10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10"/>
      <c r="V11" s="3"/>
      <c r="W11" s="3"/>
      <c r="X11" s="3"/>
      <c r="Y11" s="3"/>
      <c r="Z11" s="3"/>
      <c r="AA11" s="3"/>
    </row>
    <row r="12" spans="1:27">
      <c r="A12" s="3"/>
      <c r="B12" s="3"/>
      <c r="C12" s="3"/>
      <c r="D12" s="3"/>
      <c r="E12" s="1"/>
      <c r="F12" s="1"/>
      <c r="G12" s="3"/>
      <c r="H12" s="1"/>
      <c r="I12" s="1"/>
      <c r="J12" s="1"/>
      <c r="K12" s="1"/>
      <c r="L12" s="1"/>
      <c r="M12" s="2"/>
      <c r="N12" s="2"/>
      <c r="O12" s="2"/>
      <c r="P12" s="2"/>
      <c r="Q12" s="2"/>
      <c r="R12" s="3"/>
      <c r="S12" s="3"/>
      <c r="T12" s="3"/>
      <c r="U12" s="10"/>
      <c r="V12" s="3"/>
      <c r="W12" s="3"/>
      <c r="X12" s="3"/>
      <c r="Y12" s="3"/>
      <c r="Z12" s="3"/>
      <c r="AA12" s="3"/>
    </row>
    <row r="13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3"/>
      <c r="C15" s="3"/>
      <c r="D15" s="3"/>
      <c r="E15" s="1" t="s">
        <v>13</v>
      </c>
      <c r="F15" s="1"/>
      <c r="G15" s="3"/>
      <c r="H15" s="1" t="s">
        <v>14</v>
      </c>
      <c r="I15" s="1"/>
      <c r="J15" s="1" t="s">
        <v>15</v>
      </c>
      <c r="K15" s="1"/>
      <c r="L15" s="2" t="s">
        <v>16</v>
      </c>
      <c r="M15" s="1" t="s">
        <v>17</v>
      </c>
      <c r="N15" s="1"/>
      <c r="P15" s="1" t="s">
        <v>18</v>
      </c>
      <c r="Q15" s="1"/>
      <c r="R15" s="1" t="s">
        <v>19</v>
      </c>
      <c r="S15" s="1"/>
      <c r="T15" s="1" t="s">
        <v>20</v>
      </c>
      <c r="U15" s="1"/>
      <c r="V15" s="1"/>
      <c r="W15" s="1" t="s">
        <v>21</v>
      </c>
      <c r="X15" s="1"/>
      <c r="Y15" s="3"/>
      <c r="Z15" s="3"/>
      <c r="AA15" s="3"/>
    </row>
    <row r="16" spans="1:27">
      <c r="A16" s="3"/>
      <c r="B16" s="3"/>
      <c r="C16" s="3"/>
      <c r="D16" s="1" t="s">
        <v>22</v>
      </c>
      <c r="E16" s="1"/>
      <c r="F16" s="1"/>
      <c r="G16" s="3"/>
      <c r="H16" s="1">
        <v>0</v>
      </c>
      <c r="I16" s="1"/>
      <c r="J16" s="1" t="s">
        <v>23</v>
      </c>
      <c r="K16" s="1"/>
      <c r="L16" s="3">
        <v>110</v>
      </c>
      <c r="M16" s="1">
        <v>110</v>
      </c>
      <c r="N16" s="1"/>
      <c r="P16" s="1">
        <f t="shared" ref="P16:P26" si="0">M16*R16</f>
        <v>330</v>
      </c>
      <c r="Q16" s="1"/>
      <c r="R16" s="1">
        <v>3</v>
      </c>
      <c r="S16" s="1"/>
      <c r="T16" s="1">
        <v>1</v>
      </c>
      <c r="U16" s="1"/>
      <c r="V16" s="1"/>
      <c r="W16" s="11"/>
      <c r="X16" s="11"/>
      <c r="Y16" s="11"/>
      <c r="Z16" s="11"/>
      <c r="AA16" s="3"/>
    </row>
    <row r="17" spans="1:27">
      <c r="A17" s="3"/>
      <c r="B17" s="3"/>
      <c r="C17" s="3"/>
      <c r="D17" s="3"/>
      <c r="E17" s="2" t="s">
        <v>24</v>
      </c>
      <c r="F17" s="2"/>
      <c r="G17" s="3">
        <f t="shared" ref="G17:G26" si="1">H17/M17</f>
        <v>24.2424242424242</v>
      </c>
      <c r="H17" s="2">
        <v>8000</v>
      </c>
      <c r="I17" s="2"/>
      <c r="J17" s="2">
        <v>3</v>
      </c>
      <c r="K17" s="2"/>
      <c r="L17" s="3">
        <f>M17/J17</f>
        <v>110</v>
      </c>
      <c r="M17" s="2">
        <v>330</v>
      </c>
      <c r="N17" s="2"/>
      <c r="O17" s="3"/>
      <c r="P17" s="2">
        <f t="shared" si="0"/>
        <v>120450</v>
      </c>
      <c r="Q17" s="2"/>
      <c r="R17" s="2">
        <v>365</v>
      </c>
      <c r="S17" s="2"/>
      <c r="T17" s="2" t="s">
        <v>25</v>
      </c>
      <c r="U17" s="2"/>
      <c r="V17" s="2"/>
      <c r="W17" s="2"/>
      <c r="X17" s="2"/>
      <c r="Y17" s="3"/>
      <c r="Z17" s="3"/>
      <c r="AA17" s="3"/>
    </row>
    <row r="18" spans="1:27">
      <c r="A18" s="3"/>
      <c r="B18" s="3"/>
      <c r="C18" s="3"/>
      <c r="D18" s="3"/>
      <c r="E18" s="2" t="s">
        <v>26</v>
      </c>
      <c r="F18" s="2"/>
      <c r="G18" s="3">
        <f t="shared" si="1"/>
        <v>28.125</v>
      </c>
      <c r="H18" s="2">
        <v>45000</v>
      </c>
      <c r="I18" s="2"/>
      <c r="J18" s="2">
        <v>5</v>
      </c>
      <c r="K18" s="2"/>
      <c r="L18" s="3">
        <f>M18/J18</f>
        <v>320</v>
      </c>
      <c r="M18" s="2">
        <v>1600</v>
      </c>
      <c r="N18" s="2"/>
      <c r="O18" s="3"/>
      <c r="P18" s="2">
        <f t="shared" si="0"/>
        <v>584000</v>
      </c>
      <c r="Q18" s="2"/>
      <c r="R18" s="2">
        <v>365</v>
      </c>
      <c r="S18" s="2"/>
      <c r="T18" s="2" t="s">
        <v>25</v>
      </c>
      <c r="U18" s="2"/>
      <c r="V18" s="2"/>
      <c r="W18" s="2"/>
      <c r="X18" s="2"/>
      <c r="Y18" s="3"/>
      <c r="Z18" s="3"/>
      <c r="AA18" s="3"/>
    </row>
    <row r="19" spans="1:27">
      <c r="A19" s="3"/>
      <c r="B19" s="3"/>
      <c r="C19" s="3"/>
      <c r="D19" s="3"/>
      <c r="E19" s="2" t="s">
        <v>27</v>
      </c>
      <c r="F19" s="2"/>
      <c r="G19" s="3">
        <f t="shared" si="1"/>
        <v>27.7777777777778</v>
      </c>
      <c r="H19" s="2">
        <v>100000</v>
      </c>
      <c r="I19" s="2"/>
      <c r="J19" s="2">
        <v>10</v>
      </c>
      <c r="K19" s="2"/>
      <c r="L19" s="3">
        <f t="shared" ref="L19:L26" si="2">M19/J19</f>
        <v>360</v>
      </c>
      <c r="M19" s="2">
        <v>3600</v>
      </c>
      <c r="N19" s="2"/>
      <c r="O19" s="3"/>
      <c r="P19" s="2">
        <f t="shared" si="0"/>
        <v>1314000</v>
      </c>
      <c r="Q19" s="2"/>
      <c r="R19" s="2">
        <v>365</v>
      </c>
      <c r="S19" s="2"/>
      <c r="T19" s="2" t="s">
        <v>25</v>
      </c>
      <c r="U19" s="2"/>
      <c r="V19" s="2"/>
      <c r="W19" s="2" t="s">
        <v>28</v>
      </c>
      <c r="X19" s="2"/>
      <c r="Y19" s="2"/>
      <c r="Z19" s="3"/>
      <c r="AA19" s="3"/>
    </row>
    <row r="20" spans="1:27">
      <c r="A20" s="3"/>
      <c r="B20" s="3"/>
      <c r="C20" s="3"/>
      <c r="D20" s="3"/>
      <c r="E20" s="2" t="s">
        <v>29</v>
      </c>
      <c r="F20" s="2"/>
      <c r="G20" s="3">
        <f t="shared" si="1"/>
        <v>26.6666666666667</v>
      </c>
      <c r="H20" s="2">
        <v>380000</v>
      </c>
      <c r="I20" s="2"/>
      <c r="J20" s="2">
        <v>15</v>
      </c>
      <c r="K20" s="2"/>
      <c r="L20" s="3">
        <f t="shared" si="2"/>
        <v>950</v>
      </c>
      <c r="M20" s="2">
        <v>14250</v>
      </c>
      <c r="N20" s="2"/>
      <c r="O20" s="3"/>
      <c r="P20" s="2">
        <f t="shared" si="0"/>
        <v>5201250</v>
      </c>
      <c r="Q20" s="2"/>
      <c r="R20" s="2">
        <v>365</v>
      </c>
      <c r="S20" s="2"/>
      <c r="T20" s="2" t="s">
        <v>25</v>
      </c>
      <c r="U20" s="2"/>
      <c r="V20" s="2"/>
      <c r="W20" s="2" t="s">
        <v>28</v>
      </c>
      <c r="X20" s="2"/>
      <c r="Y20" s="2"/>
      <c r="Z20" s="3"/>
      <c r="AA20" s="3"/>
    </row>
    <row r="21" spans="1:27">
      <c r="A21" s="3"/>
      <c r="B21" s="3"/>
      <c r="C21" s="3"/>
      <c r="D21" s="3"/>
      <c r="E21" s="2" t="s">
        <v>30</v>
      </c>
      <c r="F21" s="2"/>
      <c r="G21" s="3">
        <f t="shared" si="1"/>
        <v>25.8064516129032</v>
      </c>
      <c r="H21" s="2">
        <v>800000</v>
      </c>
      <c r="I21" s="2"/>
      <c r="J21" s="2">
        <v>20</v>
      </c>
      <c r="K21" s="2"/>
      <c r="L21" s="3">
        <f t="shared" si="2"/>
        <v>1550</v>
      </c>
      <c r="M21" s="2">
        <v>31000</v>
      </c>
      <c r="N21" s="2"/>
      <c r="O21" s="3"/>
      <c r="P21" s="2">
        <f t="shared" si="0"/>
        <v>11315000</v>
      </c>
      <c r="Q21" s="2"/>
      <c r="R21" s="2">
        <v>365</v>
      </c>
      <c r="S21" s="2"/>
      <c r="T21" s="2" t="s">
        <v>25</v>
      </c>
      <c r="U21" s="2"/>
      <c r="V21" s="2"/>
      <c r="W21" s="2" t="s">
        <v>28</v>
      </c>
      <c r="X21" s="2"/>
      <c r="Y21" s="2"/>
      <c r="Z21" s="3"/>
      <c r="AA21" s="3"/>
    </row>
    <row r="22" spans="1:27">
      <c r="A22" s="3"/>
      <c r="B22" s="3"/>
      <c r="C22" s="3"/>
      <c r="D22" s="3"/>
      <c r="E22" s="2" t="s">
        <v>31</v>
      </c>
      <c r="F22" s="2"/>
      <c r="G22" s="3">
        <f t="shared" si="1"/>
        <v>24.8062015503876</v>
      </c>
      <c r="H22" s="2">
        <v>1600000</v>
      </c>
      <c r="I22" s="2"/>
      <c r="J22" s="2">
        <v>30</v>
      </c>
      <c r="K22" s="2"/>
      <c r="L22" s="3">
        <f t="shared" si="2"/>
        <v>2150</v>
      </c>
      <c r="M22" s="2">
        <v>64500</v>
      </c>
      <c r="N22" s="2"/>
      <c r="O22" s="3"/>
      <c r="P22" s="2">
        <f t="shared" si="0"/>
        <v>23542500</v>
      </c>
      <c r="Q22" s="2"/>
      <c r="R22" s="2">
        <v>365</v>
      </c>
      <c r="S22" s="2"/>
      <c r="T22" s="2" t="s">
        <v>25</v>
      </c>
      <c r="U22" s="2"/>
      <c r="V22" s="2"/>
      <c r="W22" s="2" t="s">
        <v>28</v>
      </c>
      <c r="X22" s="2"/>
      <c r="Y22" s="2"/>
      <c r="Z22" s="2"/>
      <c r="AA22" s="3"/>
    </row>
    <row r="23" spans="1:27">
      <c r="A23" s="3"/>
      <c r="B23" s="3"/>
      <c r="C23" s="3"/>
      <c r="D23" s="3"/>
      <c r="E23" s="2" t="s">
        <v>32</v>
      </c>
      <c r="F23" s="2"/>
      <c r="G23" s="3">
        <f t="shared" si="1"/>
        <v>18.75</v>
      </c>
      <c r="H23" s="2">
        <v>3000000</v>
      </c>
      <c r="I23" s="2"/>
      <c r="J23" s="2">
        <v>40</v>
      </c>
      <c r="K23" s="2"/>
      <c r="L23" s="3">
        <f t="shared" si="2"/>
        <v>4000</v>
      </c>
      <c r="M23" s="2">
        <v>160000</v>
      </c>
      <c r="N23" s="2"/>
      <c r="O23" s="3"/>
      <c r="P23" s="2">
        <f t="shared" si="0"/>
        <v>58400000</v>
      </c>
      <c r="Q23" s="2"/>
      <c r="R23" s="2">
        <v>365</v>
      </c>
      <c r="S23" s="2"/>
      <c r="T23" s="2" t="s">
        <v>25</v>
      </c>
      <c r="U23" s="2"/>
      <c r="V23" s="2"/>
      <c r="W23" s="2" t="s">
        <v>28</v>
      </c>
      <c r="X23" s="2"/>
      <c r="Y23" s="2"/>
      <c r="Z23" s="2"/>
      <c r="AA23" s="3"/>
    </row>
    <row r="24" spans="1:27">
      <c r="A24" s="3"/>
      <c r="B24" s="3"/>
      <c r="C24" s="3"/>
      <c r="D24" s="3"/>
      <c r="E24" s="2" t="s">
        <v>33</v>
      </c>
      <c r="F24" s="2"/>
      <c r="G24" s="3">
        <f t="shared" si="1"/>
        <v>17.0731707317073</v>
      </c>
      <c r="H24" s="2">
        <v>7000000</v>
      </c>
      <c r="I24" s="2"/>
      <c r="J24" s="2">
        <v>50</v>
      </c>
      <c r="K24" s="2"/>
      <c r="L24" s="3">
        <f t="shared" si="2"/>
        <v>8200</v>
      </c>
      <c r="M24" s="2">
        <v>410000</v>
      </c>
      <c r="N24" s="2"/>
      <c r="O24" s="3"/>
      <c r="P24" s="2">
        <f t="shared" si="0"/>
        <v>149650000</v>
      </c>
      <c r="Q24" s="2"/>
      <c r="R24" s="2">
        <v>365</v>
      </c>
      <c r="S24" s="2"/>
      <c r="T24" s="2" t="s">
        <v>25</v>
      </c>
      <c r="U24" s="2"/>
      <c r="V24" s="2"/>
      <c r="W24" s="2" t="s">
        <v>28</v>
      </c>
      <c r="X24" s="2"/>
      <c r="Y24" s="2"/>
      <c r="Z24" s="2"/>
      <c r="AA24" s="3"/>
    </row>
    <row r="25" spans="1:27">
      <c r="A25" s="3"/>
      <c r="B25" s="3"/>
      <c r="C25" s="3"/>
      <c r="D25" s="3"/>
      <c r="E25" s="2" t="s">
        <v>34</v>
      </c>
      <c r="F25" s="2"/>
      <c r="G25" s="3">
        <f t="shared" si="1"/>
        <v>16.0493827160494</v>
      </c>
      <c r="H25" s="2">
        <v>13000000</v>
      </c>
      <c r="I25" s="2"/>
      <c r="J25" s="2">
        <v>60</v>
      </c>
      <c r="K25" s="2"/>
      <c r="L25" s="3">
        <f t="shared" si="2"/>
        <v>13500</v>
      </c>
      <c r="M25" s="2">
        <v>810000</v>
      </c>
      <c r="N25" s="2"/>
      <c r="O25" s="3"/>
      <c r="P25" s="2">
        <f t="shared" si="0"/>
        <v>295650000</v>
      </c>
      <c r="Q25" s="2"/>
      <c r="R25" s="2">
        <v>365</v>
      </c>
      <c r="S25" s="2"/>
      <c r="T25" s="2" t="s">
        <v>25</v>
      </c>
      <c r="U25" s="2"/>
      <c r="V25" s="2"/>
      <c r="W25" s="2" t="s">
        <v>28</v>
      </c>
      <c r="X25" s="2"/>
      <c r="Y25" s="2"/>
      <c r="Z25" s="2"/>
      <c r="AA25" s="3"/>
    </row>
    <row r="26" spans="1:27">
      <c r="A26" s="3"/>
      <c r="B26" s="3"/>
      <c r="C26" s="3"/>
      <c r="D26" s="3"/>
      <c r="E26" s="2" t="s">
        <v>35</v>
      </c>
      <c r="F26" s="2"/>
      <c r="G26" s="3">
        <f t="shared" si="1"/>
        <v>15</v>
      </c>
      <c r="H26" s="2">
        <v>18000000</v>
      </c>
      <c r="I26" s="2"/>
      <c r="J26" s="2">
        <v>80</v>
      </c>
      <c r="K26" s="2"/>
      <c r="L26" s="3">
        <f t="shared" si="2"/>
        <v>15000</v>
      </c>
      <c r="M26" s="2">
        <v>1200000</v>
      </c>
      <c r="N26" s="2"/>
      <c r="O26" s="3"/>
      <c r="P26" s="2">
        <f t="shared" si="0"/>
        <v>438000000</v>
      </c>
      <c r="Q26" s="2"/>
      <c r="R26" s="2">
        <v>365</v>
      </c>
      <c r="S26" s="2"/>
      <c r="T26" s="2" t="s">
        <v>25</v>
      </c>
      <c r="U26" s="2"/>
      <c r="V26" s="2"/>
      <c r="W26" s="2" t="s">
        <v>28</v>
      </c>
      <c r="X26" s="2"/>
      <c r="Y26" s="2"/>
      <c r="Z26" s="2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3"/>
      <c r="C28" s="3"/>
      <c r="D28" s="3"/>
      <c r="E28" s="3"/>
      <c r="F28" s="3"/>
      <c r="G28" s="3"/>
      <c r="H28" s="12" t="s">
        <v>36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3"/>
      <c r="V28" s="3"/>
      <c r="W28" s="3"/>
      <c r="X28" s="3"/>
      <c r="Y28" s="3"/>
      <c r="Z28" s="3"/>
      <c r="AA28" s="3"/>
    </row>
    <row r="29" spans="1:27">
      <c r="A29" s="3"/>
      <c r="B29" s="3"/>
      <c r="C29" s="3"/>
      <c r="D29" s="3"/>
      <c r="E29" s="2" t="s">
        <v>37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3"/>
      <c r="AA29" s="3"/>
    </row>
    <row r="30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13"/>
      <c r="P31" s="14"/>
      <c r="Q31" s="14"/>
      <c r="R31" s="15"/>
      <c r="S31" s="15"/>
      <c r="T31" s="15"/>
      <c r="U31" s="15"/>
      <c r="V31" s="15"/>
      <c r="W31" s="15"/>
      <c r="X31" s="15"/>
      <c r="Y31" s="15"/>
      <c r="Z31" s="15"/>
      <c r="AA31" s="3"/>
    </row>
    <row r="32" spans="1:27">
      <c r="A32" s="3"/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13"/>
      <c r="P32" s="14"/>
      <c r="Q32" s="14"/>
      <c r="R32" s="15"/>
      <c r="S32" s="15"/>
      <c r="T32" s="15"/>
      <c r="U32" s="15"/>
      <c r="V32" s="15"/>
      <c r="W32" s="15"/>
      <c r="X32" s="15"/>
      <c r="Y32" s="15"/>
      <c r="Z32" s="15"/>
      <c r="AA32" s="3"/>
    </row>
    <row r="33" spans="1:33">
      <c r="A33" s="3"/>
      <c r="B33" s="3"/>
      <c r="C33" s="3"/>
      <c r="D33" s="3"/>
      <c r="E33" s="2" t="s">
        <v>38</v>
      </c>
      <c r="F33" s="2"/>
      <c r="G33" s="2" t="s">
        <v>39</v>
      </c>
      <c r="H33" s="2"/>
      <c r="I33" s="2"/>
      <c r="J33" s="2"/>
      <c r="K33" s="2"/>
      <c r="L33" s="2"/>
      <c r="M33" s="2"/>
      <c r="N33" s="2"/>
      <c r="O33" s="13"/>
      <c r="P33" s="14" t="s">
        <v>40</v>
      </c>
      <c r="Q33" s="14"/>
      <c r="R33" s="15" t="s">
        <v>41</v>
      </c>
      <c r="S33" s="15"/>
      <c r="T33" s="15"/>
      <c r="U33" s="15"/>
      <c r="V33" s="15"/>
      <c r="W33" s="15" t="s">
        <v>42</v>
      </c>
      <c r="X33" s="15"/>
      <c r="Y33" s="15" t="s">
        <v>43</v>
      </c>
      <c r="Z33" s="15"/>
      <c r="AA33" s="12" t="s">
        <v>44</v>
      </c>
      <c r="AB33" s="12"/>
      <c r="AC33" s="12"/>
    </row>
    <row r="34" spans="1:33">
      <c r="A34" s="3"/>
      <c r="B34" s="3"/>
      <c r="C34" s="3"/>
      <c r="D34" s="3"/>
      <c r="E34" s="2" t="s">
        <v>45</v>
      </c>
      <c r="F34" s="2"/>
      <c r="G34" s="2" t="s">
        <v>46</v>
      </c>
      <c r="H34" s="2"/>
      <c r="I34" s="2"/>
      <c r="J34" s="2"/>
      <c r="K34" s="2"/>
      <c r="L34" s="2"/>
      <c r="M34" s="2"/>
      <c r="N34" s="2"/>
      <c r="O34" s="13"/>
      <c r="P34" s="14"/>
      <c r="Q34" s="14"/>
      <c r="R34" s="15" t="s">
        <v>47</v>
      </c>
      <c r="S34" s="15"/>
      <c r="T34" s="15"/>
      <c r="U34" s="15"/>
      <c r="V34" s="15"/>
      <c r="W34" s="15" t="s">
        <v>48</v>
      </c>
      <c r="X34" s="15"/>
      <c r="Y34" s="15"/>
      <c r="Z34" s="15"/>
      <c r="AA34" s="12"/>
      <c r="AB34" s="12"/>
      <c r="AC34" s="12"/>
    </row>
    <row r="35" spans="1:33">
      <c r="A35" s="3"/>
      <c r="B35" s="3"/>
      <c r="C35" s="3"/>
      <c r="D35" s="3"/>
      <c r="E35" s="2" t="s">
        <v>49</v>
      </c>
      <c r="F35" s="2"/>
      <c r="G35" s="2" t="s">
        <v>50</v>
      </c>
      <c r="H35" s="2"/>
      <c r="I35" s="2"/>
      <c r="J35" s="2"/>
      <c r="K35" s="2"/>
      <c r="L35" s="2"/>
      <c r="M35" s="2"/>
      <c r="N35" s="2"/>
      <c r="O35" s="13"/>
      <c r="P35" s="14"/>
      <c r="Q35" s="14"/>
      <c r="R35" s="15" t="s">
        <v>51</v>
      </c>
      <c r="S35" s="15"/>
      <c r="T35" s="15"/>
      <c r="U35" s="15"/>
      <c r="V35" s="15"/>
      <c r="W35" s="15" t="s">
        <v>52</v>
      </c>
      <c r="X35" s="15"/>
      <c r="Y35" s="15"/>
      <c r="Z35" s="15"/>
      <c r="AA35" s="12"/>
      <c r="AB35" s="12"/>
      <c r="AC35" s="12"/>
    </row>
    <row r="36" spans="1:33">
      <c r="A36" s="3"/>
      <c r="B36" s="3"/>
      <c r="C36" s="3"/>
      <c r="D36" s="3"/>
      <c r="E36" s="2" t="s">
        <v>53</v>
      </c>
      <c r="F36" s="2"/>
      <c r="G36" s="2" t="s">
        <v>54</v>
      </c>
      <c r="H36" s="2"/>
      <c r="I36" s="2"/>
      <c r="J36" s="2"/>
      <c r="K36" s="2"/>
      <c r="L36" s="2"/>
      <c r="M36" s="2"/>
      <c r="N36" s="2"/>
      <c r="O36" s="13"/>
      <c r="P36" s="14"/>
      <c r="Q36" s="14"/>
      <c r="R36" s="15" t="s">
        <v>55</v>
      </c>
      <c r="S36" s="15"/>
      <c r="T36" s="15"/>
      <c r="U36" s="15"/>
      <c r="V36" s="15"/>
      <c r="W36" s="15" t="s">
        <v>56</v>
      </c>
      <c r="X36" s="15"/>
      <c r="Y36" s="15"/>
      <c r="Z36" s="15"/>
      <c r="AA36" s="12"/>
      <c r="AB36" s="12"/>
      <c r="AC36" s="12"/>
    </row>
    <row r="37" spans="1:33">
      <c r="A37" s="3"/>
      <c r="B37" s="3"/>
      <c r="C37" s="3"/>
      <c r="D37" s="3"/>
      <c r="E37" s="2" t="s">
        <v>57</v>
      </c>
      <c r="F37" s="2"/>
      <c r="G37" s="2" t="s">
        <v>58</v>
      </c>
      <c r="H37" s="2"/>
      <c r="I37" s="2"/>
      <c r="J37" s="2"/>
      <c r="K37" s="2"/>
      <c r="L37" s="2"/>
      <c r="M37" s="2"/>
      <c r="N37" s="2"/>
      <c r="O37" s="13"/>
      <c r="P37" s="14"/>
      <c r="Q37" s="14"/>
      <c r="R37" s="15" t="s">
        <v>59</v>
      </c>
      <c r="S37" s="15"/>
      <c r="T37" s="15"/>
      <c r="U37" s="15"/>
      <c r="V37" s="15"/>
      <c r="W37" s="15" t="s">
        <v>60</v>
      </c>
      <c r="X37" s="15"/>
      <c r="Y37" s="15"/>
      <c r="Z37" s="15"/>
      <c r="AA37" s="12"/>
      <c r="AB37" s="12"/>
      <c r="AC37" s="12"/>
    </row>
    <row r="38" spans="1:33">
      <c r="A38" s="3"/>
      <c r="B38" s="3"/>
      <c r="C38" s="3"/>
      <c r="D38" s="3"/>
      <c r="E38" s="2" t="s">
        <v>61</v>
      </c>
      <c r="F38" s="2"/>
      <c r="G38" s="2" t="s">
        <v>62</v>
      </c>
      <c r="H38" s="2"/>
      <c r="I38" s="2"/>
      <c r="J38" s="2"/>
      <c r="K38" s="2"/>
      <c r="L38" s="2"/>
      <c r="M38" s="2"/>
      <c r="N38" s="2"/>
      <c r="O38" s="13"/>
      <c r="P38" s="14"/>
      <c r="Q38" s="14"/>
      <c r="R38" s="15" t="s">
        <v>63</v>
      </c>
      <c r="S38" s="15"/>
      <c r="T38" s="15"/>
      <c r="U38" s="15"/>
      <c r="V38" s="15"/>
      <c r="W38" s="15" t="s">
        <v>64</v>
      </c>
      <c r="X38" s="15"/>
      <c r="Y38" s="15"/>
      <c r="Z38" s="15"/>
      <c r="AA38" s="12"/>
      <c r="AB38" s="12"/>
      <c r="AC38" s="12"/>
    </row>
    <row r="39" spans="1:33">
      <c r="A39" s="3"/>
      <c r="B39" s="3"/>
      <c r="C39" s="3"/>
      <c r="D39" s="3"/>
      <c r="E39" s="2" t="s">
        <v>65</v>
      </c>
      <c r="F39" s="2"/>
      <c r="G39" s="2" t="s">
        <v>66</v>
      </c>
      <c r="H39" s="2"/>
      <c r="I39" s="2"/>
      <c r="J39" s="2"/>
      <c r="K39" s="2"/>
      <c r="L39" s="2"/>
      <c r="M39" s="2"/>
      <c r="N39" s="2"/>
      <c r="O39" s="13"/>
      <c r="P39" s="14"/>
      <c r="Q39" s="14"/>
      <c r="R39" s="15"/>
      <c r="S39" s="15"/>
      <c r="T39" s="15"/>
      <c r="U39" s="15"/>
      <c r="V39" s="15"/>
      <c r="W39" s="15"/>
      <c r="X39" s="15"/>
      <c r="Y39" s="3"/>
      <c r="Z39" s="3"/>
      <c r="AA39" s="3"/>
    </row>
    <row r="40" spans="1:33">
      <c r="A40" s="3"/>
      <c r="B40" s="3"/>
      <c r="C40" s="3"/>
      <c r="D40" s="3"/>
      <c r="E40" s="2" t="s">
        <v>67</v>
      </c>
      <c r="F40" s="2"/>
      <c r="G40" s="2" t="s">
        <v>68</v>
      </c>
      <c r="H40" s="2"/>
      <c r="I40" s="2"/>
      <c r="J40" s="2"/>
      <c r="K40" s="2"/>
      <c r="L40" s="2"/>
      <c r="M40" s="2"/>
      <c r="N40" s="2"/>
      <c r="O40" s="16"/>
      <c r="P40" s="17"/>
      <c r="Q40" s="17"/>
      <c r="R40" s="18"/>
      <c r="S40" s="18"/>
      <c r="T40" s="18"/>
      <c r="U40" s="18"/>
      <c r="V40" s="18"/>
      <c r="W40" s="18"/>
      <c r="X40" s="18"/>
      <c r="Y40" s="3"/>
      <c r="Z40" s="3"/>
      <c r="AA40" s="3"/>
    </row>
    <row r="41" spans="1:33">
      <c r="A41" s="3"/>
      <c r="B41" s="3"/>
      <c r="C41" s="3"/>
      <c r="D41" s="3"/>
      <c r="E41" s="2" t="s">
        <v>69</v>
      </c>
      <c r="F41" s="2"/>
      <c r="G41" s="2" t="s">
        <v>70</v>
      </c>
      <c r="H41" s="2"/>
      <c r="I41" s="2"/>
      <c r="J41" s="2"/>
      <c r="K41" s="2"/>
      <c r="L41" s="2"/>
      <c r="M41" s="2"/>
      <c r="N41" s="2"/>
      <c r="O41" s="3"/>
      <c r="P41" s="17"/>
      <c r="Q41" s="17"/>
      <c r="R41" s="18"/>
      <c r="S41" s="18"/>
      <c r="T41" s="18"/>
      <c r="U41" s="18"/>
      <c r="V41" s="18"/>
      <c r="W41" s="18"/>
      <c r="X41" s="18"/>
      <c r="Y41" s="13"/>
      <c r="Z41" s="19" t="s">
        <v>71</v>
      </c>
      <c r="AA41" s="20"/>
      <c r="AB41" s="20" t="s">
        <v>72</v>
      </c>
      <c r="AC41" s="20"/>
      <c r="AD41" s="20"/>
      <c r="AE41" s="20"/>
      <c r="AF41" s="20"/>
      <c r="AG41" s="21"/>
    </row>
    <row r="42" spans="1:33">
      <c r="A42" s="3"/>
      <c r="B42" s="3"/>
      <c r="C42" s="3"/>
      <c r="D42" s="3"/>
      <c r="E42" s="2" t="s">
        <v>73</v>
      </c>
      <c r="F42" s="2"/>
      <c r="G42" s="2" t="s">
        <v>74</v>
      </c>
      <c r="H42" s="2"/>
      <c r="I42" s="2"/>
      <c r="J42" s="2"/>
      <c r="K42" s="2"/>
      <c r="L42" s="2"/>
      <c r="M42" s="2"/>
      <c r="N42" s="2"/>
      <c r="O42" s="3"/>
      <c r="P42" s="17"/>
      <c r="Q42" s="17"/>
      <c r="R42" s="18"/>
      <c r="S42" s="18"/>
      <c r="T42" s="18"/>
      <c r="U42" s="18"/>
      <c r="V42" s="18"/>
      <c r="W42" s="18"/>
      <c r="X42" s="18"/>
      <c r="Y42" s="13"/>
      <c r="Z42" s="22"/>
      <c r="AA42" s="2"/>
      <c r="AB42" s="2"/>
      <c r="AC42" s="2"/>
      <c r="AD42" s="2"/>
      <c r="AE42" s="2"/>
      <c r="AF42" s="2"/>
      <c r="AG42" s="23"/>
    </row>
    <row r="43" spans="1:33">
      <c r="A43" s="3"/>
      <c r="B43" s="3"/>
      <c r="C43" s="3"/>
      <c r="D43" s="3"/>
      <c r="O43" s="2"/>
      <c r="P43" s="17"/>
      <c r="Q43" s="17"/>
      <c r="R43" s="24"/>
      <c r="S43" s="24"/>
      <c r="T43" s="24"/>
      <c r="U43" s="24"/>
      <c r="V43" s="24"/>
      <c r="W43" s="24"/>
      <c r="X43" s="24"/>
      <c r="Y43" s="3"/>
      <c r="Z43" s="22" t="s">
        <v>75</v>
      </c>
      <c r="AA43" s="2"/>
      <c r="AB43" s="2" t="s">
        <v>76</v>
      </c>
      <c r="AC43" s="2"/>
      <c r="AD43" s="2"/>
      <c r="AE43" s="2"/>
      <c r="AF43" s="2"/>
      <c r="AG43" s="23"/>
    </row>
    <row r="44" spans="1:33">
      <c r="A44" s="3"/>
      <c r="B44" s="3"/>
      <c r="C44" s="3"/>
      <c r="D44" s="3"/>
      <c r="E44" s="2" t="s">
        <v>77</v>
      </c>
      <c r="F44" s="2"/>
      <c r="H44" s="2" t="s">
        <v>78</v>
      </c>
      <c r="I44" s="2"/>
      <c r="J44" s="2"/>
      <c r="L44" s="2" t="s">
        <v>79</v>
      </c>
      <c r="M44" s="2"/>
      <c r="O44" s="12"/>
      <c r="P44" s="17"/>
      <c r="Q44" s="17"/>
      <c r="R44" s="24"/>
      <c r="S44" s="24"/>
      <c r="T44" s="24"/>
      <c r="U44" s="24"/>
      <c r="V44" s="24"/>
      <c r="W44" s="24"/>
      <c r="X44" s="24"/>
      <c r="Y44" s="3"/>
      <c r="Z44" s="22" t="s">
        <v>80</v>
      </c>
      <c r="AA44" s="2"/>
      <c r="AB44" s="2" t="s">
        <v>81</v>
      </c>
      <c r="AC44" s="2"/>
      <c r="AD44" s="2"/>
      <c r="AE44" s="2"/>
      <c r="AF44" s="2"/>
      <c r="AG44" s="23"/>
    </row>
    <row r="45" spans="1:33">
      <c r="A45" s="3"/>
      <c r="B45" s="3"/>
      <c r="C45" s="3"/>
      <c r="D45" s="3"/>
      <c r="E45" s="2" t="s">
        <v>82</v>
      </c>
      <c r="F45" s="2"/>
      <c r="H45" s="2" t="s">
        <v>83</v>
      </c>
      <c r="I45" s="2"/>
      <c r="J45" s="2"/>
      <c r="L45" s="2">
        <v>8000</v>
      </c>
      <c r="M45" s="2"/>
      <c r="O45" s="12"/>
      <c r="P45" s="17"/>
      <c r="Q45" s="17"/>
      <c r="R45" s="24"/>
      <c r="S45" s="24"/>
      <c r="T45" s="24"/>
      <c r="U45" s="24"/>
      <c r="V45" s="24"/>
      <c r="W45" s="24"/>
      <c r="X45" s="24"/>
      <c r="Y45" s="3"/>
      <c r="Z45" s="25" t="s">
        <v>84</v>
      </c>
      <c r="AA45" s="26"/>
      <c r="AB45" s="26" t="s">
        <v>85</v>
      </c>
      <c r="AC45" s="26"/>
      <c r="AD45" s="26"/>
      <c r="AE45" s="26"/>
      <c r="AF45" s="26"/>
      <c r="AG45" s="27"/>
    </row>
    <row r="46" spans="1:33">
      <c r="A46" s="3"/>
      <c r="B46" s="3"/>
      <c r="C46" s="3"/>
      <c r="D46" s="3"/>
      <c r="E46" s="2" t="s">
        <v>86</v>
      </c>
      <c r="F46" s="2"/>
      <c r="G46" s="3"/>
      <c r="H46" s="5" t="s">
        <v>87</v>
      </c>
      <c r="I46" s="5"/>
      <c r="J46" s="5"/>
      <c r="K46" s="11"/>
      <c r="L46" s="28">
        <v>15000</v>
      </c>
      <c r="M46" s="28"/>
      <c r="N46" s="29"/>
      <c r="O46" s="12"/>
      <c r="P46" s="17"/>
      <c r="Q46" s="17"/>
      <c r="R46" s="24"/>
      <c r="S46" s="24"/>
      <c r="T46" s="24"/>
      <c r="U46" s="24"/>
      <c r="V46" s="24"/>
      <c r="W46" s="24"/>
      <c r="X46" s="24"/>
      <c r="Y46" s="3"/>
      <c r="Z46" s="3"/>
      <c r="AA46" s="3"/>
    </row>
    <row r="47" spans="1:33">
      <c r="A47" s="3"/>
      <c r="B47" s="3"/>
      <c r="C47" s="3"/>
      <c r="D47" s="3"/>
      <c r="E47" s="2" t="s">
        <v>88</v>
      </c>
      <c r="F47" s="2"/>
      <c r="G47" s="3"/>
      <c r="H47" s="5" t="s">
        <v>89</v>
      </c>
      <c r="I47" s="5"/>
      <c r="J47" s="5"/>
      <c r="K47" s="11"/>
      <c r="L47" s="28">
        <v>45000</v>
      </c>
      <c r="M47" s="28"/>
      <c r="N47" s="29"/>
      <c r="O47" s="12"/>
      <c r="P47" s="17"/>
      <c r="Q47" s="17"/>
      <c r="R47" s="24"/>
      <c r="S47" s="24"/>
      <c r="T47" s="24"/>
      <c r="U47" s="24"/>
      <c r="V47" s="24"/>
      <c r="W47" s="24"/>
      <c r="X47" s="24"/>
      <c r="Y47" s="3"/>
      <c r="Z47" s="3"/>
      <c r="AA47" s="3"/>
    </row>
    <row r="48" spans="1:33">
      <c r="A48" s="3"/>
      <c r="B48" s="3"/>
      <c r="C48" s="3"/>
      <c r="D48" s="3"/>
      <c r="E48" s="2" t="s">
        <v>90</v>
      </c>
      <c r="F48" s="2"/>
      <c r="G48" s="3"/>
      <c r="H48" s="5" t="s">
        <v>91</v>
      </c>
      <c r="I48" s="5"/>
      <c r="J48" s="5"/>
      <c r="K48" s="11"/>
      <c r="L48" s="28">
        <v>90000</v>
      </c>
      <c r="M48" s="28"/>
      <c r="N48" s="29"/>
      <c r="O48" s="12"/>
      <c r="P48" s="17"/>
      <c r="Q48" s="17"/>
      <c r="R48" s="24"/>
      <c r="S48" s="24"/>
      <c r="T48" s="24"/>
      <c r="U48" s="24"/>
      <c r="V48" s="24"/>
      <c r="W48" s="24"/>
      <c r="X48" s="24"/>
      <c r="Y48" s="3"/>
      <c r="Z48" s="3"/>
      <c r="AA48" s="3"/>
    </row>
    <row r="49" spans="1:27">
      <c r="A49" s="3"/>
      <c r="B49" s="3"/>
      <c r="C49" s="3"/>
      <c r="D49" s="3"/>
      <c r="E49" s="2" t="s">
        <v>92</v>
      </c>
      <c r="F49" s="2"/>
      <c r="G49" s="3"/>
      <c r="H49" s="5" t="s">
        <v>93</v>
      </c>
      <c r="I49" s="5"/>
      <c r="J49" s="5"/>
      <c r="K49" s="11"/>
      <c r="L49" s="28">
        <v>200000</v>
      </c>
      <c r="M49" s="28"/>
      <c r="N49" s="29"/>
      <c r="O49" s="12"/>
      <c r="P49" s="17"/>
      <c r="Q49" s="17"/>
      <c r="R49" s="24"/>
      <c r="S49" s="24"/>
      <c r="T49" s="24"/>
      <c r="U49" s="24"/>
      <c r="V49" s="24"/>
      <c r="W49" s="24"/>
      <c r="X49" s="24"/>
      <c r="Y49" s="3"/>
      <c r="Z49" s="3"/>
      <c r="AA49" s="3"/>
    </row>
    <row r="50" spans="1:27">
      <c r="A50" s="3"/>
      <c r="B50" s="3"/>
      <c r="C50" s="3"/>
      <c r="D50" s="3"/>
      <c r="E50" s="2" t="s">
        <v>94</v>
      </c>
      <c r="F50" s="2"/>
      <c r="G50" s="3"/>
      <c r="H50" s="5" t="s">
        <v>95</v>
      </c>
      <c r="I50" s="5"/>
      <c r="J50" s="5"/>
      <c r="K50" s="11"/>
      <c r="L50" s="28">
        <v>500000</v>
      </c>
      <c r="M50" s="28"/>
      <c r="N50" s="29"/>
      <c r="O50" s="12"/>
      <c r="P50" s="17"/>
      <c r="Q50" s="17"/>
      <c r="R50" s="24"/>
      <c r="S50" s="24"/>
      <c r="T50" s="24"/>
      <c r="U50" s="24"/>
      <c r="V50" s="24"/>
      <c r="W50" s="24"/>
      <c r="X50" s="24"/>
      <c r="Y50" s="3"/>
      <c r="Z50" s="3"/>
      <c r="AA50" s="3"/>
    </row>
    <row r="51" spans="1:27">
      <c r="A51" s="3"/>
      <c r="B51" s="3"/>
      <c r="C51" s="3"/>
      <c r="D51" s="3"/>
      <c r="E51" s="2" t="s">
        <v>96</v>
      </c>
      <c r="F51" s="2"/>
      <c r="G51" s="3"/>
      <c r="H51" s="5" t="s">
        <v>97</v>
      </c>
      <c r="I51" s="5"/>
      <c r="J51" s="5"/>
      <c r="K51" s="11"/>
      <c r="L51" s="28">
        <v>1000000</v>
      </c>
      <c r="M51" s="28"/>
      <c r="N51" s="29"/>
      <c r="O51" s="12"/>
      <c r="P51" s="17"/>
      <c r="Q51" s="17"/>
      <c r="R51" s="24"/>
      <c r="S51" s="24"/>
      <c r="T51" s="24"/>
      <c r="U51" s="24"/>
      <c r="V51" s="24"/>
      <c r="W51" s="24"/>
      <c r="X51" s="24"/>
      <c r="Y51" s="3"/>
      <c r="Z51" s="3"/>
      <c r="AA51" s="3"/>
    </row>
    <row r="52" spans="1:27">
      <c r="A52" s="3"/>
      <c r="B52" s="3"/>
      <c r="C52" s="3"/>
      <c r="D52" s="3"/>
      <c r="E52" s="3"/>
      <c r="F52" s="3"/>
      <c r="G52" s="3"/>
      <c r="H52" s="11"/>
      <c r="I52" s="11"/>
      <c r="J52" s="11"/>
      <c r="K52" s="11"/>
      <c r="L52" s="29"/>
      <c r="M52" s="29"/>
      <c r="N52" s="29"/>
      <c r="O52" s="12"/>
      <c r="P52" s="17"/>
      <c r="Q52" s="17"/>
      <c r="R52" s="24"/>
      <c r="S52" s="24"/>
      <c r="T52" s="24"/>
      <c r="U52" s="24"/>
      <c r="V52" s="24"/>
      <c r="W52" s="24"/>
      <c r="X52" s="24"/>
      <c r="Y52" s="3"/>
      <c r="Z52" s="3"/>
      <c r="AA52" s="3"/>
    </row>
    <row r="53" spans="1:27">
      <c r="A53" s="3"/>
      <c r="B53" s="3"/>
      <c r="C53" s="3"/>
      <c r="D53" s="12" t="s">
        <v>98</v>
      </c>
      <c r="E53" s="12"/>
      <c r="F53" s="19" t="s">
        <v>13</v>
      </c>
      <c r="G53" s="20"/>
      <c r="H53" s="30" t="s">
        <v>99</v>
      </c>
      <c r="I53" s="30"/>
      <c r="J53" s="30" t="s">
        <v>100</v>
      </c>
      <c r="K53" s="30"/>
      <c r="L53" s="31" t="s">
        <v>17</v>
      </c>
      <c r="M53" s="31"/>
      <c r="N53" s="31" t="s">
        <v>18</v>
      </c>
      <c r="O53" s="31"/>
      <c r="P53" s="32" t="s">
        <v>19</v>
      </c>
      <c r="Q53" s="33" t="s">
        <v>101</v>
      </c>
      <c r="R53" s="20" t="s">
        <v>20</v>
      </c>
      <c r="S53" s="20"/>
      <c r="T53" s="20" t="s">
        <v>21</v>
      </c>
      <c r="U53" s="21"/>
      <c r="V53" s="10"/>
      <c r="W53" s="10"/>
      <c r="X53" s="10"/>
      <c r="Y53" s="3"/>
      <c r="Z53" s="3"/>
      <c r="AA53" s="3"/>
    </row>
    <row r="54" spans="1:27">
      <c r="A54" s="3"/>
      <c r="B54" s="3"/>
      <c r="C54" s="3"/>
      <c r="D54" s="12"/>
      <c r="E54" s="12"/>
      <c r="F54" s="22" t="s">
        <v>102</v>
      </c>
      <c r="G54" s="34"/>
      <c r="H54" s="11" t="s">
        <v>103</v>
      </c>
      <c r="I54" s="11"/>
      <c r="J54" s="11">
        <v>1000</v>
      </c>
      <c r="K54" s="11"/>
      <c r="L54" s="35">
        <f t="shared" ref="L54:L59" si="3">J54*Q54</f>
        <v>15</v>
      </c>
      <c r="M54" s="29"/>
      <c r="N54" s="35">
        <f>L54*P54</f>
        <v>45</v>
      </c>
      <c r="O54" s="36"/>
      <c r="P54" s="35">
        <v>3</v>
      </c>
      <c r="Q54" s="37">
        <v>0.015</v>
      </c>
      <c r="R54" s="2">
        <v>5</v>
      </c>
      <c r="S54" s="2"/>
      <c r="T54" s="34" t="s">
        <v>104</v>
      </c>
      <c r="U54" s="23"/>
      <c r="V54" s="10"/>
      <c r="W54" s="10"/>
      <c r="X54" s="10"/>
      <c r="Y54" s="3"/>
      <c r="Z54" s="3"/>
      <c r="AA54" s="3"/>
    </row>
    <row r="55" spans="1:27">
      <c r="A55" s="3"/>
      <c r="B55" s="3"/>
      <c r="C55" s="3"/>
      <c r="D55" s="12"/>
      <c r="E55" s="12"/>
      <c r="F55" s="22" t="s">
        <v>105</v>
      </c>
      <c r="G55" s="34"/>
      <c r="H55" s="11" t="s">
        <v>106</v>
      </c>
      <c r="I55" s="11"/>
      <c r="J55" s="11">
        <v>3000</v>
      </c>
      <c r="K55" s="11"/>
      <c r="L55" s="35">
        <f t="shared" si="3"/>
        <v>54</v>
      </c>
      <c r="M55" s="29"/>
      <c r="N55" s="35">
        <f t="shared" ref="N54:N59" si="4">L55*P55</f>
        <v>378</v>
      </c>
      <c r="O55" s="36"/>
      <c r="P55" s="35">
        <v>7</v>
      </c>
      <c r="Q55" s="37">
        <v>0.018</v>
      </c>
      <c r="R55" s="2">
        <v>5</v>
      </c>
      <c r="S55" s="2"/>
      <c r="T55" s="34" t="s">
        <v>104</v>
      </c>
      <c r="U55" s="23"/>
      <c r="V55" s="10"/>
      <c r="W55" s="10"/>
      <c r="X55" s="10"/>
      <c r="Y55" s="3"/>
      <c r="Z55" s="3"/>
      <c r="AA55" s="3"/>
    </row>
    <row r="56" spans="1:27">
      <c r="A56" s="3"/>
      <c r="B56" s="3"/>
      <c r="C56" s="3"/>
      <c r="D56" s="12"/>
      <c r="E56" s="12"/>
      <c r="F56" s="22" t="s">
        <v>107</v>
      </c>
      <c r="G56" s="34"/>
      <c r="H56" s="11" t="s">
        <v>108</v>
      </c>
      <c r="I56" s="11"/>
      <c r="J56" s="11">
        <v>5000</v>
      </c>
      <c r="K56" s="11"/>
      <c r="L56" s="35">
        <f t="shared" si="3"/>
        <v>110</v>
      </c>
      <c r="M56" s="29"/>
      <c r="N56" s="35">
        <f t="shared" si="4"/>
        <v>3300</v>
      </c>
      <c r="O56" s="36"/>
      <c r="P56" s="35">
        <v>30</v>
      </c>
      <c r="Q56" s="37">
        <v>0.022</v>
      </c>
      <c r="R56" s="2">
        <v>5</v>
      </c>
      <c r="S56" s="2"/>
      <c r="T56" s="34" t="s">
        <v>104</v>
      </c>
      <c r="U56" s="23"/>
      <c r="V56" s="10"/>
      <c r="W56" s="10"/>
      <c r="X56" s="10"/>
      <c r="Y56" s="3"/>
      <c r="Z56" s="3"/>
      <c r="AA56" s="3"/>
    </row>
    <row r="57" spans="1:27">
      <c r="A57" s="3"/>
      <c r="B57" s="3"/>
      <c r="C57" s="3"/>
      <c r="D57" s="12"/>
      <c r="E57" s="12"/>
      <c r="F57" s="22" t="s">
        <v>109</v>
      </c>
      <c r="G57" s="34"/>
      <c r="H57" s="38" t="s">
        <v>110</v>
      </c>
      <c r="I57" s="38"/>
      <c r="J57" s="11">
        <v>8000</v>
      </c>
      <c r="K57" s="11"/>
      <c r="L57" s="35">
        <f t="shared" si="3"/>
        <v>200</v>
      </c>
      <c r="M57" s="29"/>
      <c r="N57" s="35">
        <f t="shared" si="4"/>
        <v>18000</v>
      </c>
      <c r="O57" s="36"/>
      <c r="P57" s="35">
        <v>90</v>
      </c>
      <c r="Q57" s="37">
        <v>0.025</v>
      </c>
      <c r="R57" s="34">
        <v>5</v>
      </c>
      <c r="S57" s="34"/>
      <c r="T57" s="34" t="s">
        <v>104</v>
      </c>
      <c r="U57" s="23"/>
      <c r="V57" s="10"/>
      <c r="W57" s="10"/>
      <c r="X57" s="10"/>
      <c r="Y57" s="3"/>
      <c r="Z57" s="3"/>
      <c r="AA57" s="3"/>
    </row>
    <row r="58" spans="1:27">
      <c r="A58" s="3"/>
      <c r="B58" s="3"/>
      <c r="C58" s="3"/>
      <c r="D58" s="12"/>
      <c r="E58" s="12"/>
      <c r="F58" s="22" t="s">
        <v>111</v>
      </c>
      <c r="G58" s="34"/>
      <c r="H58" s="38" t="s">
        <v>112</v>
      </c>
      <c r="I58" s="38"/>
      <c r="J58" s="11">
        <v>10000</v>
      </c>
      <c r="K58" s="11"/>
      <c r="L58" s="35">
        <f t="shared" si="3"/>
        <v>280</v>
      </c>
      <c r="M58" s="29"/>
      <c r="N58" s="35">
        <f t="shared" si="4"/>
        <v>50400</v>
      </c>
      <c r="O58" s="36"/>
      <c r="P58" s="35">
        <v>180</v>
      </c>
      <c r="Q58" s="37">
        <v>0.028</v>
      </c>
      <c r="R58" s="2">
        <v>5</v>
      </c>
      <c r="S58" s="2"/>
      <c r="T58" s="34" t="s">
        <v>104</v>
      </c>
      <c r="U58" s="23"/>
      <c r="V58" s="10"/>
      <c r="W58" s="10"/>
      <c r="X58" s="10"/>
      <c r="Y58" s="3"/>
      <c r="Z58" s="3"/>
      <c r="AA58" s="3"/>
    </row>
    <row r="59" spans="1:27">
      <c r="A59" s="3"/>
      <c r="B59" s="3"/>
      <c r="C59" s="3"/>
      <c r="D59" s="12"/>
      <c r="E59" s="12"/>
      <c r="F59" s="25" t="s">
        <v>113</v>
      </c>
      <c r="G59" s="26"/>
      <c r="H59" s="39" t="s">
        <v>114</v>
      </c>
      <c r="I59" s="39"/>
      <c r="J59" s="39">
        <v>15000</v>
      </c>
      <c r="K59" s="39"/>
      <c r="L59" s="40">
        <f t="shared" si="3"/>
        <v>525</v>
      </c>
      <c r="M59" s="41"/>
      <c r="N59" s="40">
        <f t="shared" si="4"/>
        <v>191625</v>
      </c>
      <c r="O59" s="41"/>
      <c r="P59" s="40">
        <v>365</v>
      </c>
      <c r="Q59" s="42">
        <v>0.035</v>
      </c>
      <c r="R59" s="26">
        <v>5</v>
      </c>
      <c r="S59" s="26"/>
      <c r="T59" s="26" t="s">
        <v>104</v>
      </c>
      <c r="U59" s="27"/>
      <c r="V59" s="10"/>
      <c r="W59" s="10"/>
      <c r="X59" s="10"/>
      <c r="Y59" s="3"/>
      <c r="Z59" s="3"/>
      <c r="AA59" s="3"/>
    </row>
    <row r="60" spans="1:27">
      <c r="A60" s="3"/>
      <c r="B60" s="3"/>
      <c r="C60" s="3"/>
      <c r="D60" s="3"/>
      <c r="E60" s="3"/>
      <c r="F60" s="3"/>
      <c r="G60" s="3"/>
      <c r="H60" s="11"/>
      <c r="I60" s="11"/>
      <c r="J60" s="11"/>
      <c r="K60" s="11"/>
      <c r="L60" s="29"/>
      <c r="M60" s="29"/>
      <c r="N60" s="29"/>
      <c r="O60" s="12"/>
      <c r="P60" s="12"/>
      <c r="Q60" s="12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3"/>
      <c r="C61" s="3"/>
      <c r="D61" s="3"/>
      <c r="E61" s="3"/>
      <c r="F61" s="3"/>
      <c r="G61" s="3"/>
      <c r="H61" s="11" t="s">
        <v>115</v>
      </c>
      <c r="I61" s="11"/>
      <c r="J61" s="11"/>
      <c r="K61" s="11"/>
      <c r="L61" s="29">
        <v>0.1</v>
      </c>
      <c r="M61" s="29">
        <v>0.03</v>
      </c>
      <c r="N61" s="29">
        <v>0.01</v>
      </c>
      <c r="O61" s="12" t="s">
        <v>116</v>
      </c>
      <c r="P61" s="12"/>
      <c r="Q61" s="12"/>
      <c r="R61" s="3"/>
      <c r="V61" s="3"/>
      <c r="W61" s="3"/>
      <c r="X61" s="3"/>
      <c r="Y61" s="3"/>
      <c r="Z61" s="3"/>
      <c r="AA61" s="3"/>
    </row>
    <row r="6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1" t="s">
        <v>117</v>
      </c>
      <c r="H64" s="1"/>
      <c r="I64" s="2">
        <v>8000</v>
      </c>
      <c r="J64" s="2"/>
      <c r="K64" s="2"/>
      <c r="L64" s="2"/>
      <c r="N64" s="3"/>
      <c r="O64" s="3"/>
      <c r="P64" s="1" t="s">
        <v>118</v>
      </c>
      <c r="Q64" s="1"/>
      <c r="R64" s="2" t="s">
        <v>119</v>
      </c>
      <c r="S64" s="2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1" t="s">
        <v>120</v>
      </c>
      <c r="H65" s="1"/>
      <c r="I65" s="2">
        <v>500</v>
      </c>
      <c r="J65" s="2"/>
      <c r="K65" s="2"/>
      <c r="L65" s="2"/>
      <c r="N65" s="3"/>
      <c r="O65" s="3"/>
      <c r="P65" s="43"/>
      <c r="Q65" s="4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3"/>
      <c r="C66" s="3"/>
      <c r="D66" s="3"/>
      <c r="E66" s="3"/>
      <c r="F66" s="3"/>
      <c r="I66" s="3"/>
      <c r="J66" s="3"/>
      <c r="K66" s="3"/>
      <c r="L66" s="3"/>
      <c r="M66" s="3"/>
      <c r="N66" s="3"/>
      <c r="O66" s="3"/>
      <c r="P66" s="1" t="s">
        <v>121</v>
      </c>
      <c r="Q66" s="1"/>
      <c r="R66" s="2" t="s">
        <v>122</v>
      </c>
      <c r="S66" s="2"/>
      <c r="T66" s="3"/>
      <c r="U66" s="3"/>
      <c r="V66" s="3"/>
      <c r="W66" s="3"/>
      <c r="X66" s="12" t="s">
        <v>123</v>
      </c>
      <c r="Y66" s="12"/>
      <c r="Z66" s="44" t="s">
        <v>124</v>
      </c>
      <c r="AA66" s="44"/>
    </row>
    <row r="67" spans="1:27">
      <c r="A67" s="3"/>
      <c r="B67" s="3"/>
      <c r="C67" s="3"/>
      <c r="D67" s="3"/>
      <c r="E67" s="3"/>
      <c r="F67" s="3"/>
      <c r="I67" s="3"/>
      <c r="J67" s="3"/>
      <c r="K67" s="3"/>
      <c r="L67" s="3"/>
      <c r="M67" s="3"/>
      <c r="N67" s="3"/>
      <c r="O67" s="3"/>
      <c r="P67" s="43"/>
      <c r="Q67" s="4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3"/>
      <c r="C68" s="3"/>
      <c r="D68" s="3"/>
      <c r="E68" s="3"/>
      <c r="F68" s="3"/>
      <c r="I68" s="3"/>
      <c r="J68" s="3"/>
      <c r="K68" s="3"/>
      <c r="L68" s="3"/>
      <c r="M68" s="3"/>
      <c r="N68" s="3"/>
      <c r="O68" s="3"/>
      <c r="P68" s="1" t="s">
        <v>125</v>
      </c>
      <c r="Q68" s="1"/>
      <c r="R68" s="2" t="s">
        <v>23</v>
      </c>
      <c r="S68" s="2"/>
      <c r="T68" s="3"/>
      <c r="U68" s="3"/>
      <c r="V68" s="3"/>
      <c r="W68" s="2" t="s">
        <v>126</v>
      </c>
      <c r="X68" s="2"/>
      <c r="Y68" s="2"/>
      <c r="Z68" s="2"/>
      <c r="AA68" s="3"/>
    </row>
    <row r="69" spans="1:27">
      <c r="A69" s="3"/>
      <c r="B69" s="3"/>
      <c r="C69" s="3"/>
      <c r="D69" s="3"/>
      <c r="E69" s="3"/>
      <c r="F69" s="3"/>
      <c r="I69" s="3"/>
      <c r="J69" s="3"/>
      <c r="K69" s="3"/>
      <c r="L69" s="3"/>
      <c r="M69" s="3"/>
      <c r="N69" s="3"/>
      <c r="O69" s="3"/>
      <c r="P69" s="43"/>
      <c r="Q69" s="4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3"/>
      <c r="C70" s="3"/>
      <c r="D70" s="3"/>
      <c r="E70" s="3"/>
      <c r="F70" s="2" t="s">
        <v>127</v>
      </c>
      <c r="G70" s="2"/>
      <c r="H70" s="2" t="s">
        <v>128</v>
      </c>
      <c r="I70" s="2"/>
      <c r="J70" s="3"/>
      <c r="K70" s="3"/>
      <c r="L70" s="3"/>
      <c r="M70" s="3"/>
      <c r="N70" s="3"/>
      <c r="O70" s="3"/>
      <c r="P70" s="1" t="s">
        <v>129</v>
      </c>
      <c r="Q70" s="1"/>
      <c r="R70" s="45">
        <v>0.1</v>
      </c>
      <c r="S70" s="2"/>
      <c r="T70" s="3"/>
      <c r="U70" s="3"/>
      <c r="V70" s="3"/>
      <c r="W70" s="12" t="s">
        <v>130</v>
      </c>
      <c r="X70" s="12"/>
      <c r="Y70" s="12"/>
      <c r="Z70" s="12"/>
      <c r="AA70" s="12"/>
    </row>
    <row r="71" spans="1:27">
      <c r="A71" s="3"/>
      <c r="B71" s="3"/>
      <c r="C71" s="3"/>
      <c r="D71" s="3"/>
      <c r="E71" s="3"/>
      <c r="F71" s="3"/>
      <c r="I71" s="3"/>
      <c r="J71" s="3"/>
      <c r="K71" s="3"/>
      <c r="L71" s="3"/>
      <c r="M71" s="3"/>
      <c r="N71" s="3"/>
      <c r="O71" s="3"/>
      <c r="P71" s="43"/>
      <c r="Q71" s="4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3"/>
      <c r="C72" s="3"/>
      <c r="D72" s="3"/>
      <c r="E72" s="3"/>
      <c r="F72" s="3"/>
      <c r="G72" s="1"/>
      <c r="H72" s="1"/>
      <c r="I72" s="2"/>
      <c r="J72" s="2"/>
      <c r="K72" s="2"/>
      <c r="L72" s="2"/>
      <c r="M72" s="3"/>
      <c r="N72" s="3"/>
      <c r="O72" s="3"/>
      <c r="P72" s="1" t="s">
        <v>131</v>
      </c>
      <c r="Q72" s="1"/>
      <c r="R72" s="2" t="s">
        <v>132</v>
      </c>
      <c r="S72" s="2"/>
      <c r="T72" s="2"/>
      <c r="U72" s="3"/>
      <c r="V72" s="3"/>
      <c r="W72" s="2" t="s">
        <v>133</v>
      </c>
      <c r="X72" s="2"/>
      <c r="Y72" s="2"/>
      <c r="Z72" s="2"/>
      <c r="AA72" s="2"/>
    </row>
    <row r="73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2" t="s">
        <v>134</v>
      </c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2"/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G76" s="18"/>
      <c r="H76" s="18"/>
      <c r="I76" s="18"/>
      <c r="J76" s="18"/>
      <c r="K76" s="18"/>
      <c r="L76" s="18"/>
      <c r="M76" s="18"/>
      <c r="N76" s="18"/>
      <c r="O76" s="15" t="s">
        <v>135</v>
      </c>
      <c r="P76" s="2"/>
      <c r="Q76" s="46" t="s">
        <v>136</v>
      </c>
      <c r="R76" s="47"/>
      <c r="S76" s="47"/>
      <c r="T76" s="47"/>
      <c r="U76" s="20" t="s">
        <v>137</v>
      </c>
      <c r="V76" s="21"/>
      <c r="W76" s="3"/>
      <c r="X76" s="3"/>
      <c r="Y76" s="3"/>
      <c r="Z76" s="3"/>
      <c r="AA76" s="3"/>
    </row>
    <row r="77" spans="1:27">
      <c r="A77" s="3"/>
      <c r="B77" s="48"/>
      <c r="C77" s="48"/>
      <c r="D77" s="48"/>
      <c r="E77" s="48"/>
      <c r="F77" s="48"/>
      <c r="G77" s="18"/>
      <c r="H77" s="18"/>
      <c r="I77" s="18"/>
      <c r="J77" s="18"/>
      <c r="K77" s="18"/>
      <c r="L77" s="18"/>
      <c r="M77" s="18"/>
      <c r="N77" s="18"/>
      <c r="O77" s="2"/>
      <c r="P77" s="2"/>
      <c r="Q77" s="49" t="s">
        <v>138</v>
      </c>
      <c r="R77" s="15"/>
      <c r="S77" s="50" t="s">
        <v>139</v>
      </c>
      <c r="T77" s="50"/>
      <c r="U77" s="51">
        <v>0.15</v>
      </c>
      <c r="V77" s="52"/>
      <c r="W77" s="3"/>
      <c r="X77" s="3"/>
      <c r="Y77" s="3"/>
      <c r="Z77" s="3"/>
      <c r="AA77" s="3"/>
    </row>
    <row r="78" spans="1:27">
      <c r="A78" s="3"/>
      <c r="B78" s="48"/>
      <c r="C78" s="48"/>
      <c r="D78" s="53"/>
      <c r="E78" s="53"/>
      <c r="F78" s="54"/>
      <c r="G78" s="18"/>
      <c r="H78" s="18"/>
      <c r="I78" s="18"/>
      <c r="J78" s="18"/>
      <c r="K78" s="18"/>
      <c r="L78" s="18"/>
      <c r="M78" s="18"/>
      <c r="N78" s="18"/>
      <c r="O78" s="2"/>
      <c r="P78" s="2"/>
      <c r="Q78" s="49"/>
      <c r="R78" s="15"/>
      <c r="S78" s="50" t="s">
        <v>140</v>
      </c>
      <c r="T78" s="50"/>
      <c r="U78" s="51">
        <v>0.001</v>
      </c>
      <c r="V78" s="52"/>
      <c r="W78" s="3"/>
      <c r="X78" s="3"/>
      <c r="Y78" s="3"/>
      <c r="Z78" s="3"/>
      <c r="AA78" s="3"/>
    </row>
    <row r="79" spans="1:27">
      <c r="A79" s="3"/>
      <c r="B79" s="48"/>
      <c r="C79" s="48"/>
      <c r="D79" s="53"/>
      <c r="E79" s="53"/>
      <c r="F79" s="54"/>
      <c r="G79" s="18"/>
      <c r="H79" s="18"/>
      <c r="I79" s="18"/>
      <c r="J79" s="18"/>
      <c r="K79" s="18"/>
      <c r="L79" s="18"/>
      <c r="M79" s="18"/>
      <c r="N79" s="18"/>
      <c r="O79" s="2"/>
      <c r="P79" s="2"/>
      <c r="Q79" s="49"/>
      <c r="R79" s="15"/>
      <c r="S79" s="50" t="s">
        <v>141</v>
      </c>
      <c r="T79" s="50"/>
      <c r="U79" s="51">
        <v>0.003</v>
      </c>
      <c r="V79" s="52"/>
      <c r="W79" s="3"/>
      <c r="X79" s="3"/>
      <c r="Y79" s="3"/>
      <c r="Z79" s="3"/>
      <c r="AA79" s="3"/>
    </row>
    <row r="80" spans="1:27">
      <c r="A80" s="3"/>
      <c r="B80" s="48"/>
      <c r="C80" s="48"/>
      <c r="D80" s="53"/>
      <c r="E80" s="53"/>
      <c r="F80" s="54"/>
      <c r="G80" s="18"/>
      <c r="H80" s="18"/>
      <c r="I80" s="18"/>
      <c r="J80" s="18"/>
      <c r="K80" s="18"/>
      <c r="L80" s="18"/>
      <c r="M80" s="18"/>
      <c r="N80" s="18"/>
      <c r="O80" s="2"/>
      <c r="P80" s="2"/>
      <c r="Q80" s="49"/>
      <c r="R80" s="15"/>
      <c r="S80" s="50" t="s">
        <v>142</v>
      </c>
      <c r="T80" s="50"/>
      <c r="U80" s="51">
        <v>0.02</v>
      </c>
      <c r="V80" s="52"/>
      <c r="W80" s="3"/>
      <c r="X80" s="3"/>
      <c r="Y80" s="3"/>
      <c r="Z80" s="3"/>
      <c r="AA80" s="3"/>
    </row>
    <row r="81" spans="1:27">
      <c r="A81" s="3"/>
      <c r="B81" s="48"/>
      <c r="C81" s="48"/>
      <c r="D81" s="53"/>
      <c r="E81" s="53"/>
      <c r="F81" s="54"/>
      <c r="G81" s="18"/>
      <c r="H81" s="18"/>
      <c r="I81" s="18"/>
      <c r="J81" s="18"/>
      <c r="K81" s="18"/>
      <c r="L81" s="18"/>
      <c r="M81" s="18"/>
      <c r="N81" s="18"/>
      <c r="O81" s="2"/>
      <c r="P81" s="2"/>
      <c r="Q81" s="49"/>
      <c r="R81" s="15"/>
      <c r="S81" s="50" t="s">
        <v>143</v>
      </c>
      <c r="T81" s="50"/>
      <c r="U81" s="51">
        <v>0.015</v>
      </c>
      <c r="V81" s="52"/>
      <c r="W81" s="3"/>
      <c r="X81" s="3"/>
      <c r="Y81" s="3"/>
      <c r="Z81" s="3"/>
      <c r="AA81" s="3"/>
    </row>
    <row r="82" spans="1:27">
      <c r="A82" s="3"/>
      <c r="B82" s="48"/>
      <c r="C82" s="48"/>
      <c r="D82" s="54"/>
      <c r="E82" s="54"/>
      <c r="F82" s="54"/>
      <c r="G82" s="18"/>
      <c r="H82" s="18"/>
      <c r="I82" s="18"/>
      <c r="J82" s="18"/>
      <c r="K82" s="18"/>
      <c r="L82" s="18"/>
      <c r="M82" s="18"/>
      <c r="N82" s="18"/>
      <c r="O82" s="2"/>
      <c r="P82" s="2"/>
      <c r="Q82" s="49"/>
      <c r="R82" s="15"/>
      <c r="S82" s="55" t="s">
        <v>144</v>
      </c>
      <c r="T82" s="50"/>
      <c r="U82" s="56">
        <v>0.012</v>
      </c>
      <c r="V82" s="52"/>
      <c r="W82" s="3"/>
      <c r="X82" s="3"/>
      <c r="Y82" s="3"/>
      <c r="Z82" s="3"/>
      <c r="AA82" s="3"/>
    </row>
    <row r="83" spans="1:27">
      <c r="A83" s="3"/>
      <c r="B83" s="48"/>
      <c r="C83" s="48"/>
      <c r="D83" s="54"/>
      <c r="E83" s="54"/>
      <c r="F83" s="54"/>
      <c r="G83" s="18"/>
      <c r="H83" s="18"/>
      <c r="I83" s="18"/>
      <c r="J83" s="18"/>
      <c r="K83" s="18"/>
      <c r="L83" s="18"/>
      <c r="M83" s="18"/>
      <c r="N83" s="18"/>
      <c r="O83" s="2"/>
      <c r="P83" s="2"/>
      <c r="Q83" s="49"/>
      <c r="R83" s="15"/>
      <c r="S83" s="55" t="s">
        <v>145</v>
      </c>
      <c r="T83" s="50"/>
      <c r="U83" s="56">
        <v>0.018</v>
      </c>
      <c r="V83" s="52"/>
      <c r="W83" s="3"/>
      <c r="X83" s="3"/>
      <c r="Y83" s="3"/>
      <c r="Z83" s="3"/>
      <c r="AA83" s="3"/>
    </row>
    <row r="84" spans="1:27">
      <c r="A84" s="3"/>
      <c r="B84" s="38"/>
      <c r="C84" s="38"/>
      <c r="D84" s="36"/>
      <c r="E84" s="36"/>
      <c r="F84" s="36"/>
      <c r="G84" s="18"/>
      <c r="H84" s="18"/>
      <c r="I84" s="18"/>
      <c r="J84" s="18"/>
      <c r="K84" s="18"/>
      <c r="L84" s="18"/>
      <c r="M84" s="18"/>
      <c r="N84" s="18"/>
      <c r="O84" s="2"/>
      <c r="P84" s="2"/>
      <c r="Q84" s="49"/>
      <c r="R84" s="15"/>
      <c r="S84" s="50" t="s">
        <v>146</v>
      </c>
      <c r="T84" s="50"/>
      <c r="U84" s="51">
        <v>0.05</v>
      </c>
      <c r="V84" s="52"/>
      <c r="W84" s="3"/>
      <c r="X84" s="3"/>
      <c r="Y84" s="3"/>
      <c r="Z84" s="3"/>
      <c r="AA84" s="3"/>
    </row>
    <row r="85" spans="1:27">
      <c r="A85" s="3"/>
      <c r="B85" s="3"/>
      <c r="C85" s="3"/>
      <c r="D85" s="3"/>
      <c r="E85" s="3"/>
      <c r="F85" s="3"/>
      <c r="G85" s="18"/>
      <c r="H85" s="18"/>
      <c r="I85" s="18"/>
      <c r="J85" s="18"/>
      <c r="K85" s="18"/>
      <c r="L85" s="18"/>
      <c r="M85" s="18"/>
      <c r="N85" s="18"/>
      <c r="O85" s="2"/>
      <c r="P85" s="2"/>
      <c r="Q85" s="49"/>
      <c r="R85" s="15"/>
      <c r="S85" s="13" t="s">
        <v>147</v>
      </c>
      <c r="T85" s="13"/>
      <c r="U85" s="51">
        <v>0.025</v>
      </c>
      <c r="V85" s="52"/>
      <c r="W85" s="3"/>
      <c r="X85" s="3"/>
      <c r="Y85" s="3"/>
      <c r="Z85" s="3"/>
      <c r="AA85" s="3"/>
    </row>
    <row r="86" spans="1:27">
      <c r="A86" s="3"/>
      <c r="B86" s="3"/>
      <c r="C86" s="3"/>
      <c r="D86" s="3"/>
      <c r="E86" s="3"/>
      <c r="F86" s="3"/>
      <c r="G86" s="18"/>
      <c r="H86" s="18"/>
      <c r="I86" s="18"/>
      <c r="J86" s="18"/>
      <c r="K86" s="18"/>
      <c r="L86" s="18"/>
      <c r="M86" s="18"/>
      <c r="N86" s="18"/>
      <c r="O86" s="2"/>
      <c r="P86" s="2"/>
      <c r="Q86" s="49"/>
      <c r="R86" s="15"/>
      <c r="S86" s="13" t="s">
        <v>148</v>
      </c>
      <c r="T86" s="13"/>
      <c r="U86" s="57">
        <v>0.08</v>
      </c>
      <c r="V86" s="58"/>
      <c r="W86" s="3"/>
      <c r="X86" s="3"/>
      <c r="Y86" s="3"/>
      <c r="Z86" s="3"/>
      <c r="AA86" s="3"/>
    </row>
    <row r="87" spans="1:27">
      <c r="A87" s="3"/>
      <c r="B87" s="3"/>
      <c r="C87" s="3"/>
      <c r="D87" s="3"/>
      <c r="E87" s="3"/>
      <c r="F87" s="3"/>
      <c r="G87" s="18"/>
      <c r="H87" s="18"/>
      <c r="I87" s="18"/>
      <c r="J87" s="18"/>
      <c r="K87" s="18"/>
      <c r="L87" s="18"/>
      <c r="M87" s="18"/>
      <c r="N87" s="18"/>
      <c r="O87" s="2"/>
      <c r="P87" s="2"/>
      <c r="Q87" s="49"/>
      <c r="R87" s="15"/>
      <c r="S87" s="13" t="s">
        <v>149</v>
      </c>
      <c r="T87" s="13"/>
      <c r="U87" s="57">
        <v>0.03</v>
      </c>
      <c r="V87" s="58"/>
      <c r="W87" s="3"/>
      <c r="X87" s="3"/>
      <c r="Y87" s="3"/>
      <c r="Z87" s="3"/>
      <c r="AA87" s="3"/>
    </row>
    <row r="88" spans="1:27">
      <c r="A88" s="3"/>
      <c r="B88" s="3"/>
      <c r="C88" s="3"/>
      <c r="D88" s="3"/>
      <c r="E88" s="3"/>
      <c r="F88" s="3"/>
      <c r="G88" s="18"/>
      <c r="H88" s="18"/>
      <c r="I88" s="18"/>
      <c r="J88" s="18"/>
      <c r="K88" s="18"/>
      <c r="L88" s="18"/>
      <c r="M88" s="18"/>
      <c r="N88" s="18"/>
      <c r="O88" s="2"/>
      <c r="P88" s="2"/>
      <c r="Q88" s="59"/>
      <c r="R88" s="60"/>
      <c r="S88" s="60"/>
      <c r="T88" s="60"/>
      <c r="U88" s="60"/>
      <c r="V88" s="61"/>
      <c r="W88" s="3"/>
      <c r="X88" s="3"/>
      <c r="Y88" s="3"/>
      <c r="Z88" s="3"/>
      <c r="AA88" s="3"/>
    </row>
    <row r="89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3"/>
      <c r="C92" s="3"/>
      <c r="D92" s="3"/>
      <c r="E92" s="3"/>
      <c r="F92" s="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3"/>
      <c r="C93" s="3"/>
      <c r="D93" s="3"/>
      <c r="E93" s="3"/>
      <c r="F93" s="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3"/>
      <c r="C94" s="3"/>
      <c r="D94" s="3"/>
      <c r="E94" s="2" t="s">
        <v>150</v>
      </c>
      <c r="F94" s="2"/>
      <c r="G94" s="2" t="s">
        <v>151</v>
      </c>
      <c r="H94" s="2"/>
      <c r="I94" s="2"/>
      <c r="J94" s="2"/>
      <c r="K94" s="2"/>
      <c r="L94" s="2"/>
      <c r="M94" s="15" t="s">
        <v>152</v>
      </c>
      <c r="N94" s="2"/>
      <c r="O94" s="2"/>
      <c r="P94" s="2"/>
      <c r="Q94" s="2"/>
      <c r="R94" s="24"/>
      <c r="S94" s="24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3"/>
      <c r="C95" s="3"/>
      <c r="D95" s="3"/>
      <c r="E95" s="2"/>
      <c r="F95" s="2"/>
      <c r="G95" s="2" t="s">
        <v>153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4"/>
      <c r="S95" s="24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3"/>
      <c r="C96" s="3"/>
      <c r="D96" s="3"/>
      <c r="E96" s="2"/>
      <c r="F96" s="2"/>
      <c r="G96" s="2" t="s">
        <v>154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4"/>
      <c r="S96" s="24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3"/>
      <c r="C97" s="3"/>
      <c r="D97" s="3"/>
      <c r="E97" s="2"/>
      <c r="F97" s="2"/>
      <c r="G97" s="2" t="s">
        <v>155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4"/>
      <c r="S97" s="24"/>
      <c r="T97" s="3"/>
      <c r="U97" s="3"/>
      <c r="V97" s="3"/>
      <c r="W97" s="3"/>
      <c r="X97" s="3"/>
      <c r="Y97" s="3"/>
      <c r="Z97" s="3"/>
      <c r="AA97" s="3"/>
    </row>
    <row r="98" spans="1:27">
      <c r="M98" s="2"/>
      <c r="N98" s="2"/>
      <c r="O98" s="2"/>
      <c r="P98" s="2"/>
      <c r="Q98" s="2"/>
    </row>
    <row r="99" spans="1:27">
      <c r="M99" s="2"/>
      <c r="N99" s="2"/>
      <c r="O99" s="2"/>
      <c r="P99" s="2"/>
      <c r="Q99" s="2"/>
    </row>
    <row r="100" spans="1:27">
      <c r="E100" s="2" t="s">
        <v>156</v>
      </c>
      <c r="F100" s="2"/>
      <c r="G100" s="2" t="s">
        <v>157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27">
      <c r="E101" s="2"/>
      <c r="F101" s="2"/>
      <c r="G101" s="2" t="s">
        <v>158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27">
      <c r="E102" s="2"/>
      <c r="F102" s="2"/>
      <c r="G102" s="2" t="s">
        <v>159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27">
      <c r="E103" s="2"/>
      <c r="F103" s="2"/>
      <c r="G103" s="2" t="s">
        <v>160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6" spans="1:27">
      <c r="F106" s="2" t="s">
        <v>161</v>
      </c>
      <c r="G106" s="2"/>
      <c r="H106" s="2"/>
      <c r="I106" s="2" t="s">
        <v>79</v>
      </c>
      <c r="J106" s="2"/>
      <c r="K106" s="2"/>
      <c r="L106" s="2"/>
      <c r="N106" s="2" t="s">
        <v>162</v>
      </c>
      <c r="O106" s="2"/>
      <c r="Q106" s="2" t="s">
        <v>163</v>
      </c>
      <c r="R106" s="2"/>
    </row>
    <row r="107" spans="1:27">
      <c r="E107" t="s">
        <v>164</v>
      </c>
      <c r="F107" s="15" t="s">
        <v>165</v>
      </c>
      <c r="G107" s="15"/>
      <c r="H107" s="15"/>
      <c r="I107" s="15" t="s">
        <v>166</v>
      </c>
      <c r="J107" s="15"/>
      <c r="K107" s="15"/>
      <c r="L107" s="15"/>
      <c r="M107" s="13"/>
      <c r="N107" s="15">
        <v>3000</v>
      </c>
      <c r="O107" s="15"/>
      <c r="P107" s="13"/>
      <c r="Q107" s="15" t="s">
        <v>148</v>
      </c>
      <c r="R107" s="15"/>
      <c r="S107" s="13"/>
    </row>
    <row r="108" spans="1:27">
      <c r="F108" s="15" t="s">
        <v>127</v>
      </c>
      <c r="G108" s="15"/>
      <c r="H108" s="15"/>
      <c r="I108" s="15" t="s">
        <v>167</v>
      </c>
      <c r="J108" s="15"/>
      <c r="K108" s="15"/>
      <c r="L108" s="15"/>
      <c r="M108" s="13"/>
      <c r="N108" s="15">
        <v>500</v>
      </c>
      <c r="O108" s="15"/>
      <c r="P108" s="13"/>
      <c r="Q108" s="15" t="s">
        <v>168</v>
      </c>
      <c r="R108" s="15"/>
      <c r="S108" s="13"/>
    </row>
    <row r="109" spans="1:27">
      <c r="F109" s="15" t="s">
        <v>169</v>
      </c>
      <c r="G109" s="15"/>
      <c r="H109" s="15"/>
      <c r="I109" s="15" t="s">
        <v>170</v>
      </c>
      <c r="J109" s="15"/>
      <c r="K109" s="15"/>
      <c r="L109" s="15"/>
      <c r="M109" s="13"/>
      <c r="N109" s="15">
        <v>1432080</v>
      </c>
      <c r="O109" s="15"/>
      <c r="P109" s="13"/>
      <c r="Q109" s="15" t="s">
        <v>171</v>
      </c>
      <c r="R109" s="15"/>
      <c r="S109" s="13"/>
    </row>
    <row r="110" spans="1:27">
      <c r="F110" s="15" t="s">
        <v>172</v>
      </c>
      <c r="G110" s="15"/>
      <c r="H110" s="15"/>
      <c r="I110" s="15" t="s">
        <v>173</v>
      </c>
      <c r="J110" s="15"/>
      <c r="K110" s="15"/>
      <c r="L110" s="15"/>
      <c r="M110" s="13"/>
      <c r="N110" s="15">
        <v>144000</v>
      </c>
      <c r="O110" s="15"/>
      <c r="P110" s="13"/>
      <c r="Q110" s="15" t="s">
        <v>174</v>
      </c>
      <c r="R110" s="15"/>
      <c r="S110" s="13"/>
    </row>
    <row r="111" spans="1:27">
      <c r="F111" s="15" t="s">
        <v>175</v>
      </c>
      <c r="G111" s="15"/>
      <c r="H111" s="15"/>
      <c r="I111" s="15" t="s">
        <v>176</v>
      </c>
      <c r="J111" s="15"/>
      <c r="K111" s="15"/>
      <c r="L111" s="15"/>
      <c r="M111" s="13"/>
      <c r="N111" s="15">
        <v>21600</v>
      </c>
      <c r="O111" s="15"/>
      <c r="P111" s="13"/>
      <c r="Q111" s="15" t="s">
        <v>177</v>
      </c>
      <c r="R111" s="15"/>
      <c r="S111" s="13"/>
    </row>
    <row r="112" spans="1:27">
      <c r="F112" s="15" t="s">
        <v>178</v>
      </c>
      <c r="G112" s="15"/>
      <c r="H112" s="15"/>
      <c r="I112" s="15" t="s">
        <v>179</v>
      </c>
      <c r="J112" s="15"/>
      <c r="K112" s="15"/>
      <c r="L112" s="15"/>
      <c r="M112" s="13"/>
      <c r="N112" s="15">
        <v>704000</v>
      </c>
      <c r="O112" s="15"/>
      <c r="P112" s="13"/>
      <c r="Q112" s="15" t="s">
        <v>180</v>
      </c>
      <c r="R112" s="15"/>
      <c r="S112" s="13"/>
    </row>
    <row r="113" spans="6:19">
      <c r="F113" s="15" t="s">
        <v>181</v>
      </c>
      <c r="G113" s="15"/>
      <c r="H113" s="15"/>
      <c r="I113" s="15" t="s">
        <v>182</v>
      </c>
      <c r="J113" s="15"/>
      <c r="K113" s="15"/>
      <c r="L113" s="15"/>
      <c r="M113" s="13"/>
      <c r="N113" s="15">
        <v>192000</v>
      </c>
      <c r="O113" s="15"/>
      <c r="P113" s="13"/>
      <c r="Q113" s="15" t="s">
        <v>183</v>
      </c>
      <c r="R113" s="15"/>
      <c r="S113" s="13"/>
    </row>
    <row r="114" spans="6:19">
      <c r="F114" s="15" t="s">
        <v>184</v>
      </c>
      <c r="G114" s="15"/>
      <c r="H114" s="15"/>
      <c r="I114" s="15" t="s">
        <v>185</v>
      </c>
      <c r="J114" s="15"/>
      <c r="K114" s="15"/>
      <c r="L114" s="15"/>
      <c r="M114" s="13"/>
      <c r="N114" s="15">
        <v>124000</v>
      </c>
      <c r="O114" s="15"/>
      <c r="P114" s="13"/>
      <c r="Q114" s="15" t="s">
        <v>186</v>
      </c>
      <c r="R114" s="15"/>
      <c r="S114" s="13"/>
    </row>
    <row r="115" spans="6:19">
      <c r="F115" s="15" t="s">
        <v>187</v>
      </c>
      <c r="G115" s="15"/>
      <c r="H115" s="15"/>
      <c r="I115" s="15" t="s">
        <v>188</v>
      </c>
      <c r="J115" s="15"/>
      <c r="K115" s="15"/>
      <c r="L115" s="15"/>
      <c r="M115" s="13"/>
      <c r="N115" s="15">
        <v>8000</v>
      </c>
      <c r="O115" s="15"/>
      <c r="P115" s="13"/>
      <c r="Q115" s="15" t="s">
        <v>189</v>
      </c>
      <c r="R115" s="15"/>
      <c r="S115" s="13"/>
    </row>
    <row r="116" spans="6:19">
      <c r="F116" s="15" t="s">
        <v>190</v>
      </c>
      <c r="G116" s="15"/>
      <c r="H116" s="15"/>
      <c r="I116" s="15" t="s">
        <v>191</v>
      </c>
      <c r="J116" s="15"/>
      <c r="K116" s="15"/>
      <c r="L116" s="15"/>
      <c r="M116" s="13"/>
      <c r="N116" s="15">
        <v>184000</v>
      </c>
      <c r="O116" s="15"/>
      <c r="P116" s="13"/>
      <c r="Q116" s="15" t="s">
        <v>192</v>
      </c>
      <c r="R116" s="15"/>
      <c r="S116" s="13"/>
    </row>
    <row r="117" spans="6:19">
      <c r="F117" s="15" t="s">
        <v>193</v>
      </c>
      <c r="G117" s="15"/>
      <c r="H117" s="15"/>
      <c r="I117" s="15" t="s">
        <v>194</v>
      </c>
      <c r="J117" s="15"/>
      <c r="K117" s="15"/>
      <c r="L117" s="15"/>
      <c r="M117" s="13"/>
      <c r="N117" s="15"/>
      <c r="O117" s="15"/>
      <c r="P117" s="13"/>
      <c r="Q117" s="15"/>
      <c r="R117" s="15"/>
      <c r="S117" s="13"/>
    </row>
    <row r="118" spans="6:19">
      <c r="F118" s="15"/>
      <c r="G118" s="15"/>
      <c r="H118" s="15"/>
      <c r="I118" s="15"/>
      <c r="J118" s="15"/>
      <c r="K118" s="15"/>
      <c r="L118" s="15"/>
      <c r="M118" s="13"/>
      <c r="N118" s="15"/>
      <c r="O118" s="15"/>
      <c r="P118" s="13"/>
      <c r="Q118" s="15"/>
      <c r="R118" s="15"/>
      <c r="S118" s="13"/>
    </row>
    <row r="119" spans="6:19">
      <c r="F119" s="15" t="s">
        <v>195</v>
      </c>
      <c r="G119" s="15"/>
      <c r="H119" s="15"/>
      <c r="I119" s="15"/>
      <c r="J119" s="15"/>
      <c r="K119" s="15"/>
      <c r="L119" s="15"/>
      <c r="M119" s="13"/>
      <c r="N119" s="15"/>
      <c r="O119" s="15"/>
      <c r="P119" s="13"/>
      <c r="Q119" s="13"/>
      <c r="R119" s="13"/>
      <c r="S119" s="13"/>
    </row>
    <row r="120" spans="6:19">
      <c r="F120" s="15"/>
      <c r="G120" s="15"/>
      <c r="H120" s="15"/>
      <c r="I120" s="15"/>
      <c r="J120" s="15"/>
      <c r="K120" s="15"/>
      <c r="L120" s="15"/>
      <c r="M120" s="13"/>
      <c r="N120" s="15"/>
      <c r="O120" s="15"/>
      <c r="P120" s="13"/>
      <c r="Q120" s="13"/>
      <c r="R120" s="13"/>
      <c r="S120" s="13"/>
    </row>
    <row r="121" spans="6:19">
      <c r="F121" s="15"/>
      <c r="G121" s="15"/>
      <c r="H121" s="15"/>
      <c r="I121" s="15"/>
      <c r="J121" s="15"/>
      <c r="K121" s="15"/>
      <c r="L121" s="15"/>
      <c r="M121" s="13"/>
      <c r="N121" s="15"/>
      <c r="O121" s="15"/>
      <c r="P121" s="13"/>
      <c r="Q121" s="13"/>
      <c r="R121" s="13"/>
      <c r="S121" s="13"/>
    </row>
    <row r="122" spans="6:19">
      <c r="F122" s="13"/>
      <c r="G122" s="13"/>
      <c r="H122" s="13"/>
      <c r="I122" s="13"/>
      <c r="J122" s="13"/>
      <c r="K122" s="13"/>
      <c r="L122" s="13"/>
      <c r="M122" s="13"/>
      <c r="N122" s="15"/>
      <c r="O122" s="15"/>
      <c r="P122" s="13"/>
      <c r="Q122" s="13"/>
      <c r="R122" s="13"/>
      <c r="S122" s="13"/>
    </row>
    <row r="123" spans="6:19">
      <c r="F123" s="13"/>
      <c r="G123" s="13"/>
      <c r="H123" s="13"/>
      <c r="I123" s="13"/>
      <c r="J123" s="13"/>
      <c r="K123" s="13"/>
      <c r="L123" s="13"/>
      <c r="M123" s="13"/>
      <c r="N123" s="15"/>
      <c r="O123" s="15"/>
      <c r="P123" s="13"/>
      <c r="Q123" s="13"/>
      <c r="R123" s="13"/>
      <c r="S123" s="13"/>
    </row>
    <row r="124" spans="6:19"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6:19"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6:19"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6:19"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6:19"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6:19"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6:19"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6:19"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6:19"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6:19"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</sheetData>
  <mergeCells count="346">
    <mergeCell ref="G4:H4"/>
    <mergeCell ref="I4:L4"/>
    <mergeCell ref="G5:H5"/>
    <mergeCell ref="I5:L5"/>
    <mergeCell ref="G6:H6"/>
    <mergeCell ref="I6:N6"/>
    <mergeCell ref="G7:H7"/>
    <mergeCell ref="I7:L7"/>
    <mergeCell ref="G8:H8"/>
    <mergeCell ref="I8:L8"/>
    <mergeCell ref="G9:H9"/>
    <mergeCell ref="I9:N9"/>
    <mergeCell ref="E12:F12"/>
    <mergeCell ref="H12:L12"/>
    <mergeCell ref="M12:Q12"/>
    <mergeCell ref="E15:F15"/>
    <mergeCell ref="H15:I15"/>
    <mergeCell ref="J15:K15"/>
    <mergeCell ref="M15:N15"/>
    <mergeCell ref="P15:Q15"/>
    <mergeCell ref="R15:S15"/>
    <mergeCell ref="T15:V15"/>
    <mergeCell ref="W15:X15"/>
    <mergeCell ref="D16:F16"/>
    <mergeCell ref="H16:I16"/>
    <mergeCell ref="J16:K16"/>
    <mergeCell ref="M16:N16"/>
    <mergeCell ref="P16:Q16"/>
    <mergeCell ref="R16:S16"/>
    <mergeCell ref="T16:V16"/>
    <mergeCell ref="W16:Z16"/>
    <mergeCell ref="E17:F17"/>
    <mergeCell ref="H17:I17"/>
    <mergeCell ref="J17:K17"/>
    <mergeCell ref="M17:N17"/>
    <mergeCell ref="P17:Q17"/>
    <mergeCell ref="R17:S17"/>
    <mergeCell ref="T17:V17"/>
    <mergeCell ref="W17:X17"/>
    <mergeCell ref="E18:F18"/>
    <mergeCell ref="H18:I18"/>
    <mergeCell ref="J18:K18"/>
    <mergeCell ref="M18:N18"/>
    <mergeCell ref="P18:Q18"/>
    <mergeCell ref="R18:S18"/>
    <mergeCell ref="T18:V18"/>
    <mergeCell ref="W18:X18"/>
    <mergeCell ref="E19:F19"/>
    <mergeCell ref="H19:I19"/>
    <mergeCell ref="J19:K19"/>
    <mergeCell ref="M19:N19"/>
    <mergeCell ref="P19:Q19"/>
    <mergeCell ref="R19:S19"/>
    <mergeCell ref="T19:V19"/>
    <mergeCell ref="W19:Y19"/>
    <mergeCell ref="E20:F20"/>
    <mergeCell ref="H20:I20"/>
    <mergeCell ref="J20:K20"/>
    <mergeCell ref="M20:N20"/>
    <mergeCell ref="P20:Q20"/>
    <mergeCell ref="R20:S20"/>
    <mergeCell ref="T20:V20"/>
    <mergeCell ref="W20:Y20"/>
    <mergeCell ref="E21:F21"/>
    <mergeCell ref="H21:I21"/>
    <mergeCell ref="J21:K21"/>
    <mergeCell ref="M21:N21"/>
    <mergeCell ref="P21:Q21"/>
    <mergeCell ref="R21:S21"/>
    <mergeCell ref="T21:V21"/>
    <mergeCell ref="W21:Y21"/>
    <mergeCell ref="E22:F22"/>
    <mergeCell ref="H22:I22"/>
    <mergeCell ref="J22:K22"/>
    <mergeCell ref="M22:N22"/>
    <mergeCell ref="P22:Q22"/>
    <mergeCell ref="R22:S22"/>
    <mergeCell ref="T22:V22"/>
    <mergeCell ref="W22:Y22"/>
    <mergeCell ref="E23:F23"/>
    <mergeCell ref="H23:I23"/>
    <mergeCell ref="J23:K23"/>
    <mergeCell ref="M23:N23"/>
    <mergeCell ref="P23:Q23"/>
    <mergeCell ref="R23:S23"/>
    <mergeCell ref="T23:V23"/>
    <mergeCell ref="W23:Y23"/>
    <mergeCell ref="E24:F24"/>
    <mergeCell ref="H24:I24"/>
    <mergeCell ref="J24:K24"/>
    <mergeCell ref="M24:N24"/>
    <mergeCell ref="P24:Q24"/>
    <mergeCell ref="R24:S24"/>
    <mergeCell ref="T24:V24"/>
    <mergeCell ref="W24:Y24"/>
    <mergeCell ref="E25:F25"/>
    <mergeCell ref="H25:I25"/>
    <mergeCell ref="J25:K25"/>
    <mergeCell ref="M25:N25"/>
    <mergeCell ref="P25:Q25"/>
    <mergeCell ref="R25:S25"/>
    <mergeCell ref="T25:V25"/>
    <mergeCell ref="W25:Y25"/>
    <mergeCell ref="E26:F26"/>
    <mergeCell ref="H26:I26"/>
    <mergeCell ref="J26:K26"/>
    <mergeCell ref="M26:N26"/>
    <mergeCell ref="P26:Q26"/>
    <mergeCell ref="R26:S26"/>
    <mergeCell ref="T26:V26"/>
    <mergeCell ref="W26:Y26"/>
    <mergeCell ref="M27:N27"/>
    <mergeCell ref="H28:T28"/>
    <mergeCell ref="E29:X29"/>
    <mergeCell ref="E33:F33"/>
    <mergeCell ref="G33:N33"/>
    <mergeCell ref="R33:V33"/>
    <mergeCell ref="W33:X33"/>
    <mergeCell ref="E34:F34"/>
    <mergeCell ref="G34:N34"/>
    <mergeCell ref="R34:V34"/>
    <mergeCell ref="W34:X34"/>
    <mergeCell ref="E35:F35"/>
    <mergeCell ref="G35:N35"/>
    <mergeCell ref="R35:V35"/>
    <mergeCell ref="W35:X35"/>
    <mergeCell ref="E36:F36"/>
    <mergeCell ref="G36:N36"/>
    <mergeCell ref="R36:V36"/>
    <mergeCell ref="W36:X36"/>
    <mergeCell ref="E37:F37"/>
    <mergeCell ref="G37:N37"/>
    <mergeCell ref="R37:V37"/>
    <mergeCell ref="W37:X37"/>
    <mergeCell ref="E38:F38"/>
    <mergeCell ref="G38:N38"/>
    <mergeCell ref="R38:V38"/>
    <mergeCell ref="W38:X38"/>
    <mergeCell ref="E39:F39"/>
    <mergeCell ref="G39:N39"/>
    <mergeCell ref="R39:V39"/>
    <mergeCell ref="W39:X39"/>
    <mergeCell ref="E40:F40"/>
    <mergeCell ref="G40:N40"/>
    <mergeCell ref="E41:F41"/>
    <mergeCell ref="G41:N41"/>
    <mergeCell ref="E42:F42"/>
    <mergeCell ref="G42:N42"/>
    <mergeCell ref="Z43:AA43"/>
    <mergeCell ref="AB43:AG43"/>
    <mergeCell ref="E44:F44"/>
    <mergeCell ref="H44:J44"/>
    <mergeCell ref="L44:M44"/>
    <mergeCell ref="Z44:AA44"/>
    <mergeCell ref="AB44:AG44"/>
    <mergeCell ref="E45:F45"/>
    <mergeCell ref="H45:J45"/>
    <mergeCell ref="L45:M45"/>
    <mergeCell ref="Z45:AA45"/>
    <mergeCell ref="AB45:AG45"/>
    <mergeCell ref="E46:F46"/>
    <mergeCell ref="H46:J46"/>
    <mergeCell ref="L46:M46"/>
    <mergeCell ref="E47:F47"/>
    <mergeCell ref="H47:J47"/>
    <mergeCell ref="L47:M47"/>
    <mergeCell ref="E48:F48"/>
    <mergeCell ref="H48:J48"/>
    <mergeCell ref="L48:M48"/>
    <mergeCell ref="E49:F49"/>
    <mergeCell ref="H49:J49"/>
    <mergeCell ref="L49:M49"/>
    <mergeCell ref="E50:F50"/>
    <mergeCell ref="H50:J50"/>
    <mergeCell ref="L50:M50"/>
    <mergeCell ref="E51:F51"/>
    <mergeCell ref="H51:J51"/>
    <mergeCell ref="L51:M51"/>
    <mergeCell ref="F53:G53"/>
    <mergeCell ref="H53:I53"/>
    <mergeCell ref="J53:K53"/>
    <mergeCell ref="L53:M53"/>
    <mergeCell ref="N53:O53"/>
    <mergeCell ref="R53:S53"/>
    <mergeCell ref="T53:U53"/>
    <mergeCell ref="F54:G54"/>
    <mergeCell ref="H54:I54"/>
    <mergeCell ref="J54:K54"/>
    <mergeCell ref="L54:M54"/>
    <mergeCell ref="N54:O54"/>
    <mergeCell ref="R54:S54"/>
    <mergeCell ref="T54:U54"/>
    <mergeCell ref="F55:G55"/>
    <mergeCell ref="H55:I55"/>
    <mergeCell ref="J55:K55"/>
    <mergeCell ref="L55:M55"/>
    <mergeCell ref="N55:O55"/>
    <mergeCell ref="R55:S55"/>
    <mergeCell ref="T55:U55"/>
    <mergeCell ref="F56:G56"/>
    <mergeCell ref="H56:I56"/>
    <mergeCell ref="J56:K56"/>
    <mergeCell ref="L56:M56"/>
    <mergeCell ref="N56:O56"/>
    <mergeCell ref="R56:S56"/>
    <mergeCell ref="T56:U56"/>
    <mergeCell ref="F57:G57"/>
    <mergeCell ref="H57:I57"/>
    <mergeCell ref="J57:K57"/>
    <mergeCell ref="L57:M57"/>
    <mergeCell ref="N57:O57"/>
    <mergeCell ref="R57:S57"/>
    <mergeCell ref="T57:U57"/>
    <mergeCell ref="F58:G58"/>
    <mergeCell ref="H58:I58"/>
    <mergeCell ref="J58:K58"/>
    <mergeCell ref="L58:M58"/>
    <mergeCell ref="N58:O58"/>
    <mergeCell ref="R58:S58"/>
    <mergeCell ref="T58:U58"/>
    <mergeCell ref="F59:G59"/>
    <mergeCell ref="H59:I59"/>
    <mergeCell ref="J59:K59"/>
    <mergeCell ref="L59:M59"/>
    <mergeCell ref="N59:O59"/>
    <mergeCell ref="R59:S59"/>
    <mergeCell ref="T59:U59"/>
    <mergeCell ref="H61:I61"/>
    <mergeCell ref="O61:Q61"/>
    <mergeCell ref="G64:H64"/>
    <mergeCell ref="I64:L64"/>
    <mergeCell ref="P64:Q64"/>
    <mergeCell ref="R64:S64"/>
    <mergeCell ref="G65:H65"/>
    <mergeCell ref="I65:L65"/>
    <mergeCell ref="P66:Q66"/>
    <mergeCell ref="R66:S66"/>
    <mergeCell ref="X66:Y66"/>
    <mergeCell ref="Z66:AA66"/>
    <mergeCell ref="P68:Q68"/>
    <mergeCell ref="R68:S68"/>
    <mergeCell ref="W68:Z68"/>
    <mergeCell ref="F70:G70"/>
    <mergeCell ref="H70:I70"/>
    <mergeCell ref="P70:Q70"/>
    <mergeCell ref="R70:S70"/>
    <mergeCell ref="W70:AA70"/>
    <mergeCell ref="G72:H72"/>
    <mergeCell ref="I72:L72"/>
    <mergeCell ref="P72:Q72"/>
    <mergeCell ref="R72:T72"/>
    <mergeCell ref="W72:AA72"/>
    <mergeCell ref="Q76:T76"/>
    <mergeCell ref="U76:V76"/>
    <mergeCell ref="U77:V77"/>
    <mergeCell ref="U78:V78"/>
    <mergeCell ref="U79:V79"/>
    <mergeCell ref="U80:V80"/>
    <mergeCell ref="U81:V81"/>
    <mergeCell ref="U82:V82"/>
    <mergeCell ref="U83:V83"/>
    <mergeCell ref="B84:C84"/>
    <mergeCell ref="U84:V84"/>
    <mergeCell ref="U85:V85"/>
    <mergeCell ref="U86:V86"/>
    <mergeCell ref="U87:V87"/>
    <mergeCell ref="S88:U88"/>
    <mergeCell ref="G94:L94"/>
    <mergeCell ref="G95:L95"/>
    <mergeCell ref="G96:L96"/>
    <mergeCell ref="G97:L97"/>
    <mergeCell ref="G100:L100"/>
    <mergeCell ref="G101:L101"/>
    <mergeCell ref="G102:L102"/>
    <mergeCell ref="G103:L103"/>
    <mergeCell ref="F106:H106"/>
    <mergeCell ref="I106:L106"/>
    <mergeCell ref="N106:O106"/>
    <mergeCell ref="Q106:R106"/>
    <mergeCell ref="F107:H107"/>
    <mergeCell ref="I107:L107"/>
    <mergeCell ref="N107:O107"/>
    <mergeCell ref="Q107:R107"/>
    <mergeCell ref="F108:H108"/>
    <mergeCell ref="I108:L108"/>
    <mergeCell ref="N108:O108"/>
    <mergeCell ref="Q108:R108"/>
    <mergeCell ref="F109:H109"/>
    <mergeCell ref="I109:L109"/>
    <mergeCell ref="N109:O109"/>
    <mergeCell ref="Q109:R109"/>
    <mergeCell ref="F110:H110"/>
    <mergeCell ref="I110:L110"/>
    <mergeCell ref="N110:O110"/>
    <mergeCell ref="Q110:R110"/>
    <mergeCell ref="F111:H111"/>
    <mergeCell ref="I111:L111"/>
    <mergeCell ref="N111:O111"/>
    <mergeCell ref="Q111:R111"/>
    <mergeCell ref="F112:H112"/>
    <mergeCell ref="I112:L112"/>
    <mergeCell ref="N112:O112"/>
    <mergeCell ref="Q112:R112"/>
    <mergeCell ref="F113:H113"/>
    <mergeCell ref="I113:L113"/>
    <mergeCell ref="N113:O113"/>
    <mergeCell ref="Q113:R113"/>
    <mergeCell ref="F114:H114"/>
    <mergeCell ref="I114:L114"/>
    <mergeCell ref="N114:O114"/>
    <mergeCell ref="Q114:R114"/>
    <mergeCell ref="F115:H115"/>
    <mergeCell ref="I115:L115"/>
    <mergeCell ref="N115:O115"/>
    <mergeCell ref="Q115:R115"/>
    <mergeCell ref="F116:H116"/>
    <mergeCell ref="I116:L116"/>
    <mergeCell ref="N116:O116"/>
    <mergeCell ref="Q116:R116"/>
    <mergeCell ref="F117:H117"/>
    <mergeCell ref="I117:L117"/>
    <mergeCell ref="N117:O117"/>
    <mergeCell ref="Q117:R117"/>
    <mergeCell ref="F118:H118"/>
    <mergeCell ref="I118:L118"/>
    <mergeCell ref="N118:O118"/>
    <mergeCell ref="Q118:R118"/>
    <mergeCell ref="N119:O119"/>
    <mergeCell ref="N120:O120"/>
    <mergeCell ref="N121:O121"/>
    <mergeCell ref="N122:O122"/>
    <mergeCell ref="N123:O123"/>
    <mergeCell ref="P33:Q39"/>
    <mergeCell ref="Y33:Z38"/>
    <mergeCell ref="Z41:AA42"/>
    <mergeCell ref="R5:U9"/>
    <mergeCell ref="AB41:AG42"/>
    <mergeCell ref="AA33:AC38"/>
    <mergeCell ref="A74:F75"/>
    <mergeCell ref="O76:P88"/>
    <mergeCell ref="Q77:R88"/>
    <mergeCell ref="D53:E59"/>
    <mergeCell ref="E94:F97"/>
    <mergeCell ref="E100:F103"/>
    <mergeCell ref="F119:L121"/>
    <mergeCell ref="M94:Q103"/>
  </mergeCells>
  <hyperlinks>
    <hyperlink ref="I6" r:id="rId2" display="https://www.avivainvestors.com/" tooltip="https://www.avivainvestors.com/"/>
    <hyperlink ref="I9" r:id="rId3" display="https://www.AVIVA-CM.com/" tooltip="https://www.AVIVA-CM.com/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</cp:lastModifiedBy>
  <dcterms:created xsi:type="dcterms:W3CDTF">2023-05-12T11:15:00Z</dcterms:created>
  <dcterms:modified xsi:type="dcterms:W3CDTF">2026-03-18T13:30:36Z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3AE2D545E3F2469B9C2F218950AAFE04_12</vt:lpwstr>
  </property>
  <property fmtid="{D5CDD505-2E9C-101B-9397-08002B2CF9AE}" pid="4" name="CalculationRule">
    <vt:i4>0</vt:i4>
  </property>
</Properties>
</file>